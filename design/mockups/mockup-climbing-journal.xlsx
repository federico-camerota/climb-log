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ession" sheetId="1" state="visible" r:id="rId1"/>
    <sheet name="Wellbeing" sheetId="2" state="visible" r:id="rId2"/>
    <sheet name="_settings" sheetId="3" state="visible" r:id="rId3"/>
    <sheet name="_meta" sheetId="4" state="visible" r:id="rId4"/>
  </sheets>
  <definedNames>
    <definedName name="low_max">_settings!$B$2</definedName>
    <definedName name="watch_max">_settings!$B$3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1F1F1F"/>
      <sz val="10"/>
    </font>
    <font>
      <name val="Roboto Mono"/>
      <color rgb="00404040"/>
      <sz val="9"/>
    </font>
    <font>
      <color rgb="00595959"/>
    </font>
  </fonts>
  <fills count="11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BFBFBF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</border>
    <border>
      <left style="thin">
        <color rgb="00A6A6A6"/>
      </left>
      <right style="thin">
        <color rgb="00A6A6A6"/>
      </right>
      <bottom style="medium">
        <color rgb="0059595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shrinkToFit="1"/>
    </xf>
    <xf numFmtId="0" fontId="2" fillId="5" borderId="2" applyAlignment="1" pivotButton="0" quotePrefix="0" xfId="0">
      <alignment horizontal="center" vertical="center" shrinkToFit="1"/>
    </xf>
    <xf numFmtId="0" fontId="2" fillId="7" borderId="2" applyAlignment="1" pivotButton="0" quotePrefix="0" xfId="0">
      <alignment horizontal="center" vertical="center" shrinkToFit="1"/>
    </xf>
    <xf numFmtId="0" fontId="2" fillId="9" borderId="2" applyAlignment="1" pivotButton="0" quotePrefix="0" xfId="0">
      <alignment horizontal="center" vertical="center" shrinkToFit="1"/>
    </xf>
    <xf numFmtId="0" fontId="2" fillId="10" borderId="2" applyAlignment="1" pivotButton="0" quotePrefix="0" xfId="0">
      <alignment horizontal="center" vertical="center" shrinkToFit="1"/>
    </xf>
    <xf numFmtId="164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climblog</author>
  </authors>
  <commentList>
    <comment ref="A2" authorId="0" shapeId="0">
      <text>
        <t>Row 2 holds the field keys the app matches on. Do not edit this row; labels in row 1 can be reworded freely.</t>
      </text>
    </comment>
  </commentList>
</comments>
</file>

<file path=xl/comments/comment2.xml><?xml version="1.0" encoding="utf-8"?>
<comments xmlns="http://schemas.openxmlformats.org/spreadsheetml/2006/main">
  <authors>
    <author>climblog</author>
  </authors>
  <commentList>
    <comment ref="A2" authorId="0" shapeId="0">
      <text>
        <t>Row 2 holds the field keys the app matches on. Do not edit this row; labels in row 1 can be reworded freely.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6" customWidth="1" min="3" max="3"/>
    <col width="12" customWidth="1" min="4" max="4"/>
    <col width="14" customWidth="1" min="5" max="5"/>
    <col width="16" customWidth="1" min="6" max="6"/>
    <col width="9" customWidth="1" min="7" max="7"/>
    <col width="14" customWidth="1" min="8" max="8"/>
    <col width="50" customWidth="1" min="9" max="9"/>
    <col width="9" customWidth="1" min="10" max="10"/>
    <col width="10" customWidth="1" min="11" max="11"/>
    <col hidden="1" width="10" customWidth="1" min="12" max="12"/>
    <col width="12" customWidth="1" min="13" max="13"/>
    <col width="8" customWidth="1" min="14" max="14"/>
  </cols>
  <sheetData>
    <row r="1" ht="48" customHeight="1">
      <c r="A1" s="1" t="inlineStr">
        <is>
          <t>Date</t>
        </is>
      </c>
      <c r="B1" s="1" t="inlineStr">
        <is>
          <t>Session #
(blank = 1)</t>
        </is>
      </c>
      <c r="C1" s="2" t="inlineStr">
        <is>
          <t>Venue</t>
        </is>
      </c>
      <c r="D1" s="2" t="inlineStr">
        <is>
          <t>Indoor / outdoor</t>
        </is>
      </c>
      <c r="E1" s="2" t="inlineStr">
        <is>
          <t>Session type</t>
        </is>
      </c>
      <c r="F1" s="2" t="inlineStr">
        <is>
          <t>Partners</t>
        </is>
      </c>
      <c r="G1" s="3" t="inlineStr">
        <is>
          <t>Duration (min)</t>
        </is>
      </c>
      <c r="H1" s="3" t="inlineStr">
        <is>
          <t>Hardest grade tried
(French 7a or gym number)</t>
        </is>
      </c>
      <c r="I1" s="3" t="inlineStr">
        <is>
          <t>Notes</t>
        </is>
      </c>
      <c r="J1" s="4" t="inlineStr">
        <is>
          <t>Weekday</t>
        </is>
      </c>
      <c r="K1" s="4" t="inlineStr">
        <is>
          <t>Days since previous</t>
        </is>
      </c>
      <c r="L1" s="4" t="inlineStr">
        <is>
          <t>key (auto, hidden)</t>
        </is>
      </c>
      <c r="M1" s="5" t="inlineStr">
        <is>
          <t>updated_at
(app fills)</t>
        </is>
      </c>
      <c r="N1" s="5" t="inlineStr">
        <is>
          <t>deleted
(app fills)</t>
        </is>
      </c>
    </row>
    <row r="2" ht="18" customHeight="1">
      <c r="A2" s="6" t="inlineStr">
        <is>
          <t>date</t>
        </is>
      </c>
      <c r="B2" s="6" t="inlineStr">
        <is>
          <t>session_no</t>
        </is>
      </c>
      <c r="C2" s="7" t="inlineStr">
        <is>
          <t>venue</t>
        </is>
      </c>
      <c r="D2" s="7" t="inlineStr">
        <is>
          <t>setting</t>
        </is>
      </c>
      <c r="E2" s="7" t="inlineStr">
        <is>
          <t>session_type</t>
        </is>
      </c>
      <c r="F2" s="7" t="inlineStr">
        <is>
          <t>partners</t>
        </is>
      </c>
      <c r="G2" s="8" t="inlineStr">
        <is>
          <t>duration_min</t>
        </is>
      </c>
      <c r="H2" s="8" t="inlineStr">
        <is>
          <t>hardest_grade</t>
        </is>
      </c>
      <c r="I2" s="8" t="inlineStr">
        <is>
          <t>notes</t>
        </is>
      </c>
      <c r="J2" s="9" t="inlineStr">
        <is>
          <t>auto:weekday</t>
        </is>
      </c>
      <c r="K2" s="9" t="inlineStr">
        <is>
          <t>auto:days_since_prev</t>
        </is>
      </c>
      <c r="L2" s="9" t="inlineStr">
        <is>
          <t>auto:_key</t>
        </is>
      </c>
      <c r="M2" s="10" t="inlineStr">
        <is>
          <t>updated_at</t>
        </is>
      </c>
      <c r="N2" s="10" t="inlineStr">
        <is>
          <t>deleted</t>
        </is>
      </c>
    </row>
    <row r="3">
      <c r="A3" s="11" t="n">
        <v>46312</v>
      </c>
      <c r="C3" s="12" t="inlineStr">
        <is>
          <t>Falesia Esempio</t>
        </is>
      </c>
      <c r="D3" t="inlineStr">
        <is>
          <t>Outdoor</t>
        </is>
      </c>
      <c r="E3" t="inlineStr">
        <is>
          <t>Climbing</t>
        </is>
      </c>
      <c r="F3" s="12" t="inlineStr">
        <is>
          <t>Alex</t>
        </is>
      </c>
      <c r="H3" s="12" t="inlineStr">
        <is>
          <t>6c</t>
        </is>
      </c>
      <c r="I3" s="12" t="inlineStr">
        <is>
          <t>[ESEMPIO] Due giri sul progetto, voli puliti. Avambracci un po' pesanti già dal riscaldamento.</t>
        </is>
      </c>
      <c r="J3" s="13">
        <f>IF($A3="","",CHOOSE(WEEKDAY($A3,2),"Mon","Tue","Wed","Thu","Fri","Sat","Sun"))</f>
        <v/>
      </c>
      <c r="K3" s="14">
        <f>IF($A3="","",IF(COUNTIFS($A$3:$A$202,"&lt;"&amp;$A3)=0,"",$A3-_xlfn.MAXIFS($A$3:$A$202,$A$3:$A$202,"&lt;"&amp;$A3)))</f>
        <v/>
      </c>
      <c r="L3" s="14">
        <f>IF($A3="","",$A3*10+IF($B3="",1,$B3))</f>
        <v/>
      </c>
    </row>
    <row r="4">
      <c r="A4" s="11" t="n">
        <v>46313</v>
      </c>
      <c r="C4" s="12" t="inlineStr">
        <is>
          <t>Palestra Demo</t>
        </is>
      </c>
      <c r="D4" t="inlineStr">
        <is>
          <t>Indoor</t>
        </is>
      </c>
      <c r="E4" t="inlineStr">
        <is>
          <t>Climbing</t>
        </is>
      </c>
      <c r="F4" s="12" t="inlineStr">
        <is>
          <t>Sam e Robin</t>
        </is>
      </c>
      <c r="H4" s="12" t="inlineStr">
        <is>
          <t>6</t>
        </is>
      </c>
      <c r="I4" s="12" t="inlineStr">
        <is>
          <t>[ESEMPIO] Sessione tranquilla in palestra (grado 6 della palestra). Lavoro sui piedi in placca.</t>
        </is>
      </c>
      <c r="J4" s="13">
        <f>IF($A4="","",CHOOSE(WEEKDAY($A4,2),"Mon","Tue","Wed","Thu","Fri","Sat","Sun"))</f>
        <v/>
      </c>
      <c r="K4" s="14">
        <f>IF($A4="","",IF(COUNTIFS($A$3:$A$202,"&lt;"&amp;$A4)=0,"",$A4-_xlfn.MAXIFS($A$3:$A$202,$A$3:$A$202,"&lt;"&amp;$A4)))</f>
        <v/>
      </c>
      <c r="L4" s="14">
        <f>IF($A4="","",$A4*10+IF($B4="",1,$B4))</f>
        <v/>
      </c>
    </row>
    <row r="5">
      <c r="A5" s="11" t="n"/>
      <c r="C5" s="12" t="n"/>
      <c r="F5" s="12" t="n"/>
      <c r="H5" s="12" t="n"/>
      <c r="I5" s="12" t="n"/>
      <c r="J5" s="13">
        <f>IF($A5="","",CHOOSE(WEEKDAY($A5,2),"Mon","Tue","Wed","Thu","Fri","Sat","Sun"))</f>
        <v/>
      </c>
      <c r="K5" s="14">
        <f>IF($A5="","",IF(COUNTIFS($A$3:$A$202,"&lt;"&amp;$A5)=0,"",$A5-_xlfn.MAXIFS($A$3:$A$202,$A$3:$A$202,"&lt;"&amp;$A5)))</f>
        <v/>
      </c>
      <c r="L5" s="14">
        <f>IF($A5="","",$A5*10+IF($B5="",1,$B5))</f>
        <v/>
      </c>
    </row>
    <row r="6">
      <c r="A6" s="11" t="n"/>
      <c r="C6" s="12" t="n"/>
      <c r="F6" s="12" t="n"/>
      <c r="H6" s="12" t="n"/>
      <c r="I6" s="12" t="n"/>
      <c r="J6" s="13">
        <f>IF($A6="","",CHOOSE(WEEKDAY($A6,2),"Mon","Tue","Wed","Thu","Fri","Sat","Sun"))</f>
        <v/>
      </c>
      <c r="K6" s="14">
        <f>IF($A6="","",IF(COUNTIFS($A$3:$A$202,"&lt;"&amp;$A6)=0,"",$A6-_xlfn.MAXIFS($A$3:$A$202,$A$3:$A$202,"&lt;"&amp;$A6)))</f>
        <v/>
      </c>
      <c r="L6" s="14">
        <f>IF($A6="","",$A6*10+IF($B6="",1,$B6))</f>
        <v/>
      </c>
    </row>
    <row r="7">
      <c r="A7" s="11" t="n"/>
      <c r="C7" s="12" t="n"/>
      <c r="F7" s="12" t="n"/>
      <c r="H7" s="12" t="n"/>
      <c r="I7" s="12" t="n"/>
      <c r="J7" s="13">
        <f>IF($A7="","",CHOOSE(WEEKDAY($A7,2),"Mon","Tue","Wed","Thu","Fri","Sat","Sun"))</f>
        <v/>
      </c>
      <c r="K7" s="14">
        <f>IF($A7="","",IF(COUNTIFS($A$3:$A$202,"&lt;"&amp;$A7)=0,"",$A7-_xlfn.MAXIFS($A$3:$A$202,$A$3:$A$202,"&lt;"&amp;$A7)))</f>
        <v/>
      </c>
      <c r="L7" s="14">
        <f>IF($A7="","",$A7*10+IF($B7="",1,$B7))</f>
        <v/>
      </c>
    </row>
    <row r="8">
      <c r="A8" s="11" t="n"/>
      <c r="C8" s="12" t="n"/>
      <c r="F8" s="12" t="n"/>
      <c r="H8" s="12" t="n"/>
      <c r="I8" s="12" t="n"/>
      <c r="J8" s="13">
        <f>IF($A8="","",CHOOSE(WEEKDAY($A8,2),"Mon","Tue","Wed","Thu","Fri","Sat","Sun"))</f>
        <v/>
      </c>
      <c r="K8" s="14">
        <f>IF($A8="","",IF(COUNTIFS($A$3:$A$202,"&lt;"&amp;$A8)=0,"",$A8-_xlfn.MAXIFS($A$3:$A$202,$A$3:$A$202,"&lt;"&amp;$A8)))</f>
        <v/>
      </c>
      <c r="L8" s="14">
        <f>IF($A8="","",$A8*10+IF($B8="",1,$B8))</f>
        <v/>
      </c>
    </row>
    <row r="9">
      <c r="A9" s="11" t="n"/>
      <c r="C9" s="12" t="n"/>
      <c r="F9" s="12" t="n"/>
      <c r="H9" s="12" t="n"/>
      <c r="I9" s="12" t="n"/>
      <c r="J9" s="13">
        <f>IF($A9="","",CHOOSE(WEEKDAY($A9,2),"Mon","Tue","Wed","Thu","Fri","Sat","Sun"))</f>
        <v/>
      </c>
      <c r="K9" s="14">
        <f>IF($A9="","",IF(COUNTIFS($A$3:$A$202,"&lt;"&amp;$A9)=0,"",$A9-_xlfn.MAXIFS($A$3:$A$202,$A$3:$A$202,"&lt;"&amp;$A9)))</f>
        <v/>
      </c>
      <c r="L9" s="14">
        <f>IF($A9="","",$A9*10+IF($B9="",1,$B9))</f>
        <v/>
      </c>
    </row>
    <row r="10">
      <c r="A10" s="11" t="n"/>
      <c r="C10" s="12" t="n"/>
      <c r="F10" s="12" t="n"/>
      <c r="H10" s="12" t="n"/>
      <c r="I10" s="12" t="n"/>
      <c r="J10" s="13">
        <f>IF($A10="","",CHOOSE(WEEKDAY($A10,2),"Mon","Tue","Wed","Thu","Fri","Sat","Sun"))</f>
        <v/>
      </c>
      <c r="K10" s="14">
        <f>IF($A10="","",IF(COUNTIFS($A$3:$A$202,"&lt;"&amp;$A10)=0,"",$A10-_xlfn.MAXIFS($A$3:$A$202,$A$3:$A$202,"&lt;"&amp;$A10)))</f>
        <v/>
      </c>
      <c r="L10" s="14">
        <f>IF($A10="","",$A10*10+IF($B10="",1,$B10))</f>
        <v/>
      </c>
    </row>
    <row r="11">
      <c r="A11" s="11" t="n"/>
      <c r="C11" s="12" t="n"/>
      <c r="F11" s="12" t="n"/>
      <c r="H11" s="12" t="n"/>
      <c r="I11" s="12" t="n"/>
      <c r="J11" s="13">
        <f>IF($A11="","",CHOOSE(WEEKDAY($A11,2),"Mon","Tue","Wed","Thu","Fri","Sat","Sun"))</f>
        <v/>
      </c>
      <c r="K11" s="14">
        <f>IF($A11="","",IF(COUNTIFS($A$3:$A$202,"&lt;"&amp;$A11)=0,"",$A11-_xlfn.MAXIFS($A$3:$A$202,$A$3:$A$202,"&lt;"&amp;$A11)))</f>
        <v/>
      </c>
      <c r="L11" s="14">
        <f>IF($A11="","",$A11*10+IF($B11="",1,$B11))</f>
        <v/>
      </c>
    </row>
    <row r="12">
      <c r="A12" s="11" t="n"/>
      <c r="C12" s="12" t="n"/>
      <c r="F12" s="12" t="n"/>
      <c r="H12" s="12" t="n"/>
      <c r="I12" s="12" t="n"/>
      <c r="J12" s="13">
        <f>IF($A12="","",CHOOSE(WEEKDAY($A12,2),"Mon","Tue","Wed","Thu","Fri","Sat","Sun"))</f>
        <v/>
      </c>
      <c r="K12" s="14">
        <f>IF($A12="","",IF(COUNTIFS($A$3:$A$202,"&lt;"&amp;$A12)=0,"",$A12-_xlfn.MAXIFS($A$3:$A$202,$A$3:$A$202,"&lt;"&amp;$A12)))</f>
        <v/>
      </c>
      <c r="L12" s="14">
        <f>IF($A12="","",$A12*10+IF($B12="",1,$B12))</f>
        <v/>
      </c>
    </row>
    <row r="13">
      <c r="A13" s="11" t="n"/>
      <c r="C13" s="12" t="n"/>
      <c r="F13" s="12" t="n"/>
      <c r="H13" s="12" t="n"/>
      <c r="I13" s="12" t="n"/>
      <c r="J13" s="13">
        <f>IF($A13="","",CHOOSE(WEEKDAY($A13,2),"Mon","Tue","Wed","Thu","Fri","Sat","Sun"))</f>
        <v/>
      </c>
      <c r="K13" s="14">
        <f>IF($A13="","",IF(COUNTIFS($A$3:$A$202,"&lt;"&amp;$A13)=0,"",$A13-_xlfn.MAXIFS($A$3:$A$202,$A$3:$A$202,"&lt;"&amp;$A13)))</f>
        <v/>
      </c>
      <c r="L13" s="14">
        <f>IF($A13="","",$A13*10+IF($B13="",1,$B13))</f>
        <v/>
      </c>
    </row>
    <row r="14">
      <c r="A14" s="11" t="n"/>
      <c r="C14" s="12" t="n"/>
      <c r="F14" s="12" t="n"/>
      <c r="H14" s="12" t="n"/>
      <c r="I14" s="12" t="n"/>
      <c r="J14" s="13">
        <f>IF($A14="","",CHOOSE(WEEKDAY($A14,2),"Mon","Tue","Wed","Thu","Fri","Sat","Sun"))</f>
        <v/>
      </c>
      <c r="K14" s="14">
        <f>IF($A14="","",IF(COUNTIFS($A$3:$A$202,"&lt;"&amp;$A14)=0,"",$A14-_xlfn.MAXIFS($A$3:$A$202,$A$3:$A$202,"&lt;"&amp;$A14)))</f>
        <v/>
      </c>
      <c r="L14" s="14">
        <f>IF($A14="","",$A14*10+IF($B14="",1,$B14))</f>
        <v/>
      </c>
    </row>
    <row r="15">
      <c r="A15" s="11" t="n"/>
      <c r="C15" s="12" t="n"/>
      <c r="F15" s="12" t="n"/>
      <c r="H15" s="12" t="n"/>
      <c r="I15" s="12" t="n"/>
      <c r="J15" s="13">
        <f>IF($A15="","",CHOOSE(WEEKDAY($A15,2),"Mon","Tue","Wed","Thu","Fri","Sat","Sun"))</f>
        <v/>
      </c>
      <c r="K15" s="14">
        <f>IF($A15="","",IF(COUNTIFS($A$3:$A$202,"&lt;"&amp;$A15)=0,"",$A15-_xlfn.MAXIFS($A$3:$A$202,$A$3:$A$202,"&lt;"&amp;$A15)))</f>
        <v/>
      </c>
      <c r="L15" s="14">
        <f>IF($A15="","",$A15*10+IF($B15="",1,$B15))</f>
        <v/>
      </c>
    </row>
    <row r="16">
      <c r="A16" s="11" t="n"/>
      <c r="C16" s="12" t="n"/>
      <c r="F16" s="12" t="n"/>
      <c r="H16" s="12" t="n"/>
      <c r="I16" s="12" t="n"/>
      <c r="J16" s="13">
        <f>IF($A16="","",CHOOSE(WEEKDAY($A16,2),"Mon","Tue","Wed","Thu","Fri","Sat","Sun"))</f>
        <v/>
      </c>
      <c r="K16" s="14">
        <f>IF($A16="","",IF(COUNTIFS($A$3:$A$202,"&lt;"&amp;$A16)=0,"",$A16-_xlfn.MAXIFS($A$3:$A$202,$A$3:$A$202,"&lt;"&amp;$A16)))</f>
        <v/>
      </c>
      <c r="L16" s="14">
        <f>IF($A16="","",$A16*10+IF($B16="",1,$B16))</f>
        <v/>
      </c>
    </row>
    <row r="17">
      <c r="A17" s="11" t="n"/>
      <c r="C17" s="12" t="n"/>
      <c r="F17" s="12" t="n"/>
      <c r="H17" s="12" t="n"/>
      <c r="I17" s="12" t="n"/>
      <c r="J17" s="13">
        <f>IF($A17="","",CHOOSE(WEEKDAY($A17,2),"Mon","Tue","Wed","Thu","Fri","Sat","Sun"))</f>
        <v/>
      </c>
      <c r="K17" s="14">
        <f>IF($A17="","",IF(COUNTIFS($A$3:$A$202,"&lt;"&amp;$A17)=0,"",$A17-_xlfn.MAXIFS($A$3:$A$202,$A$3:$A$202,"&lt;"&amp;$A17)))</f>
        <v/>
      </c>
      <c r="L17" s="14">
        <f>IF($A17="","",$A17*10+IF($B17="",1,$B17))</f>
        <v/>
      </c>
    </row>
    <row r="18">
      <c r="A18" s="11" t="n"/>
      <c r="C18" s="12" t="n"/>
      <c r="F18" s="12" t="n"/>
      <c r="H18" s="12" t="n"/>
      <c r="I18" s="12" t="n"/>
      <c r="J18" s="13">
        <f>IF($A18="","",CHOOSE(WEEKDAY($A18,2),"Mon","Tue","Wed","Thu","Fri","Sat","Sun"))</f>
        <v/>
      </c>
      <c r="K18" s="14">
        <f>IF($A18="","",IF(COUNTIFS($A$3:$A$202,"&lt;"&amp;$A18)=0,"",$A18-_xlfn.MAXIFS($A$3:$A$202,$A$3:$A$202,"&lt;"&amp;$A18)))</f>
        <v/>
      </c>
      <c r="L18" s="14">
        <f>IF($A18="","",$A18*10+IF($B18="",1,$B18))</f>
        <v/>
      </c>
    </row>
    <row r="19">
      <c r="A19" s="11" t="n"/>
      <c r="C19" s="12" t="n"/>
      <c r="F19" s="12" t="n"/>
      <c r="H19" s="12" t="n"/>
      <c r="I19" s="12" t="n"/>
      <c r="J19" s="13">
        <f>IF($A19="","",CHOOSE(WEEKDAY($A19,2),"Mon","Tue","Wed","Thu","Fri","Sat","Sun"))</f>
        <v/>
      </c>
      <c r="K19" s="14">
        <f>IF($A19="","",IF(COUNTIFS($A$3:$A$202,"&lt;"&amp;$A19)=0,"",$A19-_xlfn.MAXIFS($A$3:$A$202,$A$3:$A$202,"&lt;"&amp;$A19)))</f>
        <v/>
      </c>
      <c r="L19" s="14">
        <f>IF($A19="","",$A19*10+IF($B19="",1,$B19))</f>
        <v/>
      </c>
    </row>
    <row r="20">
      <c r="A20" s="11" t="n"/>
      <c r="C20" s="12" t="n"/>
      <c r="F20" s="12" t="n"/>
      <c r="H20" s="12" t="n"/>
      <c r="I20" s="12" t="n"/>
      <c r="J20" s="13">
        <f>IF($A20="","",CHOOSE(WEEKDAY($A20,2),"Mon","Tue","Wed","Thu","Fri","Sat","Sun"))</f>
        <v/>
      </c>
      <c r="K20" s="14">
        <f>IF($A20="","",IF(COUNTIFS($A$3:$A$202,"&lt;"&amp;$A20)=0,"",$A20-_xlfn.MAXIFS($A$3:$A$202,$A$3:$A$202,"&lt;"&amp;$A20)))</f>
        <v/>
      </c>
      <c r="L20" s="14">
        <f>IF($A20="","",$A20*10+IF($B20="",1,$B20))</f>
        <v/>
      </c>
    </row>
    <row r="21">
      <c r="A21" s="11" t="n"/>
      <c r="C21" s="12" t="n"/>
      <c r="F21" s="12" t="n"/>
      <c r="H21" s="12" t="n"/>
      <c r="I21" s="12" t="n"/>
      <c r="J21" s="13">
        <f>IF($A21="","",CHOOSE(WEEKDAY($A21,2),"Mon","Tue","Wed","Thu","Fri","Sat","Sun"))</f>
        <v/>
      </c>
      <c r="K21" s="14">
        <f>IF($A21="","",IF(COUNTIFS($A$3:$A$202,"&lt;"&amp;$A21)=0,"",$A21-_xlfn.MAXIFS($A$3:$A$202,$A$3:$A$202,"&lt;"&amp;$A21)))</f>
        <v/>
      </c>
      <c r="L21" s="14">
        <f>IF($A21="","",$A21*10+IF($B21="",1,$B21))</f>
        <v/>
      </c>
    </row>
    <row r="22">
      <c r="A22" s="11" t="n"/>
      <c r="C22" s="12" t="n"/>
      <c r="F22" s="12" t="n"/>
      <c r="H22" s="12" t="n"/>
      <c r="I22" s="12" t="n"/>
      <c r="J22" s="13">
        <f>IF($A22="","",CHOOSE(WEEKDAY($A22,2),"Mon","Tue","Wed","Thu","Fri","Sat","Sun"))</f>
        <v/>
      </c>
      <c r="K22" s="14">
        <f>IF($A22="","",IF(COUNTIFS($A$3:$A$202,"&lt;"&amp;$A22)=0,"",$A22-_xlfn.MAXIFS($A$3:$A$202,$A$3:$A$202,"&lt;"&amp;$A22)))</f>
        <v/>
      </c>
      <c r="L22" s="14">
        <f>IF($A22="","",$A22*10+IF($B22="",1,$B22))</f>
        <v/>
      </c>
    </row>
    <row r="23">
      <c r="A23" s="11" t="n"/>
      <c r="C23" s="12" t="n"/>
      <c r="F23" s="12" t="n"/>
      <c r="H23" s="12" t="n"/>
      <c r="I23" s="12" t="n"/>
      <c r="J23" s="13">
        <f>IF($A23="","",CHOOSE(WEEKDAY($A23,2),"Mon","Tue","Wed","Thu","Fri","Sat","Sun"))</f>
        <v/>
      </c>
      <c r="K23" s="14">
        <f>IF($A23="","",IF(COUNTIFS($A$3:$A$202,"&lt;"&amp;$A23)=0,"",$A23-_xlfn.MAXIFS($A$3:$A$202,$A$3:$A$202,"&lt;"&amp;$A23)))</f>
        <v/>
      </c>
      <c r="L23" s="14">
        <f>IF($A23="","",$A23*10+IF($B23="",1,$B23))</f>
        <v/>
      </c>
    </row>
    <row r="24">
      <c r="A24" s="11" t="n"/>
      <c r="C24" s="12" t="n"/>
      <c r="F24" s="12" t="n"/>
      <c r="H24" s="12" t="n"/>
      <c r="I24" s="12" t="n"/>
      <c r="J24" s="13">
        <f>IF($A24="","",CHOOSE(WEEKDAY($A24,2),"Mon","Tue","Wed","Thu","Fri","Sat","Sun"))</f>
        <v/>
      </c>
      <c r="K24" s="14">
        <f>IF($A24="","",IF(COUNTIFS($A$3:$A$202,"&lt;"&amp;$A24)=0,"",$A24-_xlfn.MAXIFS($A$3:$A$202,$A$3:$A$202,"&lt;"&amp;$A24)))</f>
        <v/>
      </c>
      <c r="L24" s="14">
        <f>IF($A24="","",$A24*10+IF($B24="",1,$B24))</f>
        <v/>
      </c>
    </row>
    <row r="25">
      <c r="A25" s="11" t="n"/>
      <c r="C25" s="12" t="n"/>
      <c r="F25" s="12" t="n"/>
      <c r="H25" s="12" t="n"/>
      <c r="I25" s="12" t="n"/>
      <c r="J25" s="13">
        <f>IF($A25="","",CHOOSE(WEEKDAY($A25,2),"Mon","Tue","Wed","Thu","Fri","Sat","Sun"))</f>
        <v/>
      </c>
      <c r="K25" s="14">
        <f>IF($A25="","",IF(COUNTIFS($A$3:$A$202,"&lt;"&amp;$A25)=0,"",$A25-_xlfn.MAXIFS($A$3:$A$202,$A$3:$A$202,"&lt;"&amp;$A25)))</f>
        <v/>
      </c>
      <c r="L25" s="14">
        <f>IF($A25="","",$A25*10+IF($B25="",1,$B25))</f>
        <v/>
      </c>
    </row>
    <row r="26">
      <c r="A26" s="11" t="n"/>
      <c r="C26" s="12" t="n"/>
      <c r="F26" s="12" t="n"/>
      <c r="H26" s="12" t="n"/>
      <c r="I26" s="12" t="n"/>
      <c r="J26" s="13">
        <f>IF($A26="","",CHOOSE(WEEKDAY($A26,2),"Mon","Tue","Wed","Thu","Fri","Sat","Sun"))</f>
        <v/>
      </c>
      <c r="K26" s="14">
        <f>IF($A26="","",IF(COUNTIFS($A$3:$A$202,"&lt;"&amp;$A26)=0,"",$A26-_xlfn.MAXIFS($A$3:$A$202,$A$3:$A$202,"&lt;"&amp;$A26)))</f>
        <v/>
      </c>
      <c r="L26" s="14">
        <f>IF($A26="","",$A26*10+IF($B26="",1,$B26))</f>
        <v/>
      </c>
    </row>
    <row r="27">
      <c r="A27" s="11" t="n"/>
      <c r="C27" s="12" t="n"/>
      <c r="F27" s="12" t="n"/>
      <c r="H27" s="12" t="n"/>
      <c r="I27" s="12" t="n"/>
      <c r="J27" s="13">
        <f>IF($A27="","",CHOOSE(WEEKDAY($A27,2),"Mon","Tue","Wed","Thu","Fri","Sat","Sun"))</f>
        <v/>
      </c>
      <c r="K27" s="14">
        <f>IF($A27="","",IF(COUNTIFS($A$3:$A$202,"&lt;"&amp;$A27)=0,"",$A27-_xlfn.MAXIFS($A$3:$A$202,$A$3:$A$202,"&lt;"&amp;$A27)))</f>
        <v/>
      </c>
      <c r="L27" s="14">
        <f>IF($A27="","",$A27*10+IF($B27="",1,$B27))</f>
        <v/>
      </c>
    </row>
    <row r="28">
      <c r="A28" s="11" t="n"/>
      <c r="C28" s="12" t="n"/>
      <c r="F28" s="12" t="n"/>
      <c r="H28" s="12" t="n"/>
      <c r="I28" s="12" t="n"/>
      <c r="J28" s="13">
        <f>IF($A28="","",CHOOSE(WEEKDAY($A28,2),"Mon","Tue","Wed","Thu","Fri","Sat","Sun"))</f>
        <v/>
      </c>
      <c r="K28" s="14">
        <f>IF($A28="","",IF(COUNTIFS($A$3:$A$202,"&lt;"&amp;$A28)=0,"",$A28-_xlfn.MAXIFS($A$3:$A$202,$A$3:$A$202,"&lt;"&amp;$A28)))</f>
        <v/>
      </c>
      <c r="L28" s="14">
        <f>IF($A28="","",$A28*10+IF($B28="",1,$B28))</f>
        <v/>
      </c>
    </row>
    <row r="29">
      <c r="A29" s="11" t="n"/>
      <c r="C29" s="12" t="n"/>
      <c r="F29" s="12" t="n"/>
      <c r="H29" s="12" t="n"/>
      <c r="I29" s="12" t="n"/>
      <c r="J29" s="13">
        <f>IF($A29="","",CHOOSE(WEEKDAY($A29,2),"Mon","Tue","Wed","Thu","Fri","Sat","Sun"))</f>
        <v/>
      </c>
      <c r="K29" s="14">
        <f>IF($A29="","",IF(COUNTIFS($A$3:$A$202,"&lt;"&amp;$A29)=0,"",$A29-_xlfn.MAXIFS($A$3:$A$202,$A$3:$A$202,"&lt;"&amp;$A29)))</f>
        <v/>
      </c>
      <c r="L29" s="14">
        <f>IF($A29="","",$A29*10+IF($B29="",1,$B29))</f>
        <v/>
      </c>
    </row>
    <row r="30">
      <c r="A30" s="11" t="n"/>
      <c r="C30" s="12" t="n"/>
      <c r="F30" s="12" t="n"/>
      <c r="H30" s="12" t="n"/>
      <c r="I30" s="12" t="n"/>
      <c r="J30" s="13">
        <f>IF($A30="","",CHOOSE(WEEKDAY($A30,2),"Mon","Tue","Wed","Thu","Fri","Sat","Sun"))</f>
        <v/>
      </c>
      <c r="K30" s="14">
        <f>IF($A30="","",IF(COUNTIFS($A$3:$A$202,"&lt;"&amp;$A30)=0,"",$A30-_xlfn.MAXIFS($A$3:$A$202,$A$3:$A$202,"&lt;"&amp;$A30)))</f>
        <v/>
      </c>
      <c r="L30" s="14">
        <f>IF($A30="","",$A30*10+IF($B30="",1,$B30))</f>
        <v/>
      </c>
    </row>
    <row r="31">
      <c r="A31" s="11" t="n"/>
      <c r="C31" s="12" t="n"/>
      <c r="F31" s="12" t="n"/>
      <c r="H31" s="12" t="n"/>
      <c r="I31" s="12" t="n"/>
      <c r="J31" s="13">
        <f>IF($A31="","",CHOOSE(WEEKDAY($A31,2),"Mon","Tue","Wed","Thu","Fri","Sat","Sun"))</f>
        <v/>
      </c>
      <c r="K31" s="14">
        <f>IF($A31="","",IF(COUNTIFS($A$3:$A$202,"&lt;"&amp;$A31)=0,"",$A31-_xlfn.MAXIFS($A$3:$A$202,$A$3:$A$202,"&lt;"&amp;$A31)))</f>
        <v/>
      </c>
      <c r="L31" s="14">
        <f>IF($A31="","",$A31*10+IF($B31="",1,$B31))</f>
        <v/>
      </c>
    </row>
    <row r="32">
      <c r="A32" s="11" t="n"/>
      <c r="C32" s="12" t="n"/>
      <c r="F32" s="12" t="n"/>
      <c r="H32" s="12" t="n"/>
      <c r="I32" s="12" t="n"/>
      <c r="J32" s="13">
        <f>IF($A32="","",CHOOSE(WEEKDAY($A32,2),"Mon","Tue","Wed","Thu","Fri","Sat","Sun"))</f>
        <v/>
      </c>
      <c r="K32" s="14">
        <f>IF($A32="","",IF(COUNTIFS($A$3:$A$202,"&lt;"&amp;$A32)=0,"",$A32-_xlfn.MAXIFS($A$3:$A$202,$A$3:$A$202,"&lt;"&amp;$A32)))</f>
        <v/>
      </c>
      <c r="L32" s="14">
        <f>IF($A32="","",$A32*10+IF($B32="",1,$B32))</f>
        <v/>
      </c>
    </row>
    <row r="33">
      <c r="A33" s="11" t="n"/>
      <c r="C33" s="12" t="n"/>
      <c r="F33" s="12" t="n"/>
      <c r="H33" s="12" t="n"/>
      <c r="I33" s="12" t="n"/>
      <c r="J33" s="13">
        <f>IF($A33="","",CHOOSE(WEEKDAY($A33,2),"Mon","Tue","Wed","Thu","Fri","Sat","Sun"))</f>
        <v/>
      </c>
      <c r="K33" s="14">
        <f>IF($A33="","",IF(COUNTIFS($A$3:$A$202,"&lt;"&amp;$A33)=0,"",$A33-_xlfn.MAXIFS($A$3:$A$202,$A$3:$A$202,"&lt;"&amp;$A33)))</f>
        <v/>
      </c>
      <c r="L33" s="14">
        <f>IF($A33="","",$A33*10+IF($B33="",1,$B33))</f>
        <v/>
      </c>
    </row>
    <row r="34">
      <c r="A34" s="11" t="n"/>
      <c r="C34" s="12" t="n"/>
      <c r="F34" s="12" t="n"/>
      <c r="H34" s="12" t="n"/>
      <c r="I34" s="12" t="n"/>
      <c r="J34" s="13">
        <f>IF($A34="","",CHOOSE(WEEKDAY($A34,2),"Mon","Tue","Wed","Thu","Fri","Sat","Sun"))</f>
        <v/>
      </c>
      <c r="K34" s="14">
        <f>IF($A34="","",IF(COUNTIFS($A$3:$A$202,"&lt;"&amp;$A34)=0,"",$A34-_xlfn.MAXIFS($A$3:$A$202,$A$3:$A$202,"&lt;"&amp;$A34)))</f>
        <v/>
      </c>
      <c r="L34" s="14">
        <f>IF($A34="","",$A34*10+IF($B34="",1,$B34))</f>
        <v/>
      </c>
    </row>
    <row r="35">
      <c r="A35" s="11" t="n"/>
      <c r="C35" s="12" t="n"/>
      <c r="F35" s="12" t="n"/>
      <c r="H35" s="12" t="n"/>
      <c r="I35" s="12" t="n"/>
      <c r="J35" s="13">
        <f>IF($A35="","",CHOOSE(WEEKDAY($A35,2),"Mon","Tue","Wed","Thu","Fri","Sat","Sun"))</f>
        <v/>
      </c>
      <c r="K35" s="14">
        <f>IF($A35="","",IF(COUNTIFS($A$3:$A$202,"&lt;"&amp;$A35)=0,"",$A35-_xlfn.MAXIFS($A$3:$A$202,$A$3:$A$202,"&lt;"&amp;$A35)))</f>
        <v/>
      </c>
      <c r="L35" s="14">
        <f>IF($A35="","",$A35*10+IF($B35="",1,$B35))</f>
        <v/>
      </c>
    </row>
    <row r="36">
      <c r="A36" s="11" t="n"/>
      <c r="C36" s="12" t="n"/>
      <c r="F36" s="12" t="n"/>
      <c r="H36" s="12" t="n"/>
      <c r="I36" s="12" t="n"/>
      <c r="J36" s="13">
        <f>IF($A36="","",CHOOSE(WEEKDAY($A36,2),"Mon","Tue","Wed","Thu","Fri","Sat","Sun"))</f>
        <v/>
      </c>
      <c r="K36" s="14">
        <f>IF($A36="","",IF(COUNTIFS($A$3:$A$202,"&lt;"&amp;$A36)=0,"",$A36-_xlfn.MAXIFS($A$3:$A$202,$A$3:$A$202,"&lt;"&amp;$A36)))</f>
        <v/>
      </c>
      <c r="L36" s="14">
        <f>IF($A36="","",$A36*10+IF($B36="",1,$B36))</f>
        <v/>
      </c>
    </row>
    <row r="37">
      <c r="A37" s="11" t="n"/>
      <c r="C37" s="12" t="n"/>
      <c r="F37" s="12" t="n"/>
      <c r="H37" s="12" t="n"/>
      <c r="I37" s="12" t="n"/>
      <c r="J37" s="13">
        <f>IF($A37="","",CHOOSE(WEEKDAY($A37,2),"Mon","Tue","Wed","Thu","Fri","Sat","Sun"))</f>
        <v/>
      </c>
      <c r="K37" s="14">
        <f>IF($A37="","",IF(COUNTIFS($A$3:$A$202,"&lt;"&amp;$A37)=0,"",$A37-_xlfn.MAXIFS($A$3:$A$202,$A$3:$A$202,"&lt;"&amp;$A37)))</f>
        <v/>
      </c>
      <c r="L37" s="14">
        <f>IF($A37="","",$A37*10+IF($B37="",1,$B37))</f>
        <v/>
      </c>
    </row>
    <row r="38">
      <c r="A38" s="11" t="n"/>
      <c r="C38" s="12" t="n"/>
      <c r="F38" s="12" t="n"/>
      <c r="H38" s="12" t="n"/>
      <c r="I38" s="12" t="n"/>
      <c r="J38" s="13">
        <f>IF($A38="","",CHOOSE(WEEKDAY($A38,2),"Mon","Tue","Wed","Thu","Fri","Sat","Sun"))</f>
        <v/>
      </c>
      <c r="K38" s="14">
        <f>IF($A38="","",IF(COUNTIFS($A$3:$A$202,"&lt;"&amp;$A38)=0,"",$A38-_xlfn.MAXIFS($A$3:$A$202,$A$3:$A$202,"&lt;"&amp;$A38)))</f>
        <v/>
      </c>
      <c r="L38" s="14">
        <f>IF($A38="","",$A38*10+IF($B38="",1,$B38))</f>
        <v/>
      </c>
    </row>
    <row r="39">
      <c r="A39" s="11" t="n"/>
      <c r="C39" s="12" t="n"/>
      <c r="F39" s="12" t="n"/>
      <c r="H39" s="12" t="n"/>
      <c r="I39" s="12" t="n"/>
      <c r="J39" s="13">
        <f>IF($A39="","",CHOOSE(WEEKDAY($A39,2),"Mon","Tue","Wed","Thu","Fri","Sat","Sun"))</f>
        <v/>
      </c>
      <c r="K39" s="14">
        <f>IF($A39="","",IF(COUNTIFS($A$3:$A$202,"&lt;"&amp;$A39)=0,"",$A39-_xlfn.MAXIFS($A$3:$A$202,$A$3:$A$202,"&lt;"&amp;$A39)))</f>
        <v/>
      </c>
      <c r="L39" s="14">
        <f>IF($A39="","",$A39*10+IF($B39="",1,$B39))</f>
        <v/>
      </c>
    </row>
    <row r="40">
      <c r="A40" s="11" t="n"/>
      <c r="C40" s="12" t="n"/>
      <c r="F40" s="12" t="n"/>
      <c r="H40" s="12" t="n"/>
      <c r="I40" s="12" t="n"/>
      <c r="J40" s="13">
        <f>IF($A40="","",CHOOSE(WEEKDAY($A40,2),"Mon","Tue","Wed","Thu","Fri","Sat","Sun"))</f>
        <v/>
      </c>
      <c r="K40" s="14">
        <f>IF($A40="","",IF(COUNTIFS($A$3:$A$202,"&lt;"&amp;$A40)=0,"",$A40-_xlfn.MAXIFS($A$3:$A$202,$A$3:$A$202,"&lt;"&amp;$A40)))</f>
        <v/>
      </c>
      <c r="L40" s="14">
        <f>IF($A40="","",$A40*10+IF($B40="",1,$B40))</f>
        <v/>
      </c>
    </row>
    <row r="41">
      <c r="A41" s="11" t="n"/>
      <c r="C41" s="12" t="n"/>
      <c r="F41" s="12" t="n"/>
      <c r="H41" s="12" t="n"/>
      <c r="I41" s="12" t="n"/>
      <c r="J41" s="13">
        <f>IF($A41="","",CHOOSE(WEEKDAY($A41,2),"Mon","Tue","Wed","Thu","Fri","Sat","Sun"))</f>
        <v/>
      </c>
      <c r="K41" s="14">
        <f>IF($A41="","",IF(COUNTIFS($A$3:$A$202,"&lt;"&amp;$A41)=0,"",$A41-_xlfn.MAXIFS($A$3:$A$202,$A$3:$A$202,"&lt;"&amp;$A41)))</f>
        <v/>
      </c>
      <c r="L41" s="14">
        <f>IF($A41="","",$A41*10+IF($B41="",1,$B41))</f>
        <v/>
      </c>
    </row>
    <row r="42">
      <c r="A42" s="11" t="n"/>
      <c r="C42" s="12" t="n"/>
      <c r="F42" s="12" t="n"/>
      <c r="H42" s="12" t="n"/>
      <c r="I42" s="12" t="n"/>
      <c r="J42" s="13">
        <f>IF($A42="","",CHOOSE(WEEKDAY($A42,2),"Mon","Tue","Wed","Thu","Fri","Sat","Sun"))</f>
        <v/>
      </c>
      <c r="K42" s="14">
        <f>IF($A42="","",IF(COUNTIFS($A$3:$A$202,"&lt;"&amp;$A42)=0,"",$A42-_xlfn.MAXIFS($A$3:$A$202,$A$3:$A$202,"&lt;"&amp;$A42)))</f>
        <v/>
      </c>
      <c r="L42" s="14">
        <f>IF($A42="","",$A42*10+IF($B42="",1,$B42))</f>
        <v/>
      </c>
    </row>
    <row r="43">
      <c r="A43" s="11" t="n"/>
      <c r="C43" s="12" t="n"/>
      <c r="F43" s="12" t="n"/>
      <c r="H43" s="12" t="n"/>
      <c r="I43" s="12" t="n"/>
      <c r="J43" s="13">
        <f>IF($A43="","",CHOOSE(WEEKDAY($A43,2),"Mon","Tue","Wed","Thu","Fri","Sat","Sun"))</f>
        <v/>
      </c>
      <c r="K43" s="14">
        <f>IF($A43="","",IF(COUNTIFS($A$3:$A$202,"&lt;"&amp;$A43)=0,"",$A43-_xlfn.MAXIFS($A$3:$A$202,$A$3:$A$202,"&lt;"&amp;$A43)))</f>
        <v/>
      </c>
      <c r="L43" s="14">
        <f>IF($A43="","",$A43*10+IF($B43="",1,$B43))</f>
        <v/>
      </c>
    </row>
    <row r="44">
      <c r="A44" s="11" t="n"/>
      <c r="C44" s="12" t="n"/>
      <c r="F44" s="12" t="n"/>
      <c r="H44" s="12" t="n"/>
      <c r="I44" s="12" t="n"/>
      <c r="J44" s="13">
        <f>IF($A44="","",CHOOSE(WEEKDAY($A44,2),"Mon","Tue","Wed","Thu","Fri","Sat","Sun"))</f>
        <v/>
      </c>
      <c r="K44" s="14">
        <f>IF($A44="","",IF(COUNTIFS($A$3:$A$202,"&lt;"&amp;$A44)=0,"",$A44-_xlfn.MAXIFS($A$3:$A$202,$A$3:$A$202,"&lt;"&amp;$A44)))</f>
        <v/>
      </c>
      <c r="L44" s="14">
        <f>IF($A44="","",$A44*10+IF($B44="",1,$B44))</f>
        <v/>
      </c>
    </row>
    <row r="45">
      <c r="A45" s="11" t="n"/>
      <c r="C45" s="12" t="n"/>
      <c r="F45" s="12" t="n"/>
      <c r="H45" s="12" t="n"/>
      <c r="I45" s="12" t="n"/>
      <c r="J45" s="13">
        <f>IF($A45="","",CHOOSE(WEEKDAY($A45,2),"Mon","Tue","Wed","Thu","Fri","Sat","Sun"))</f>
        <v/>
      </c>
      <c r="K45" s="14">
        <f>IF($A45="","",IF(COUNTIFS($A$3:$A$202,"&lt;"&amp;$A45)=0,"",$A45-_xlfn.MAXIFS($A$3:$A$202,$A$3:$A$202,"&lt;"&amp;$A45)))</f>
        <v/>
      </c>
      <c r="L45" s="14">
        <f>IF($A45="","",$A45*10+IF($B45="",1,$B45))</f>
        <v/>
      </c>
    </row>
    <row r="46">
      <c r="A46" s="11" t="n"/>
      <c r="C46" s="12" t="n"/>
      <c r="F46" s="12" t="n"/>
      <c r="H46" s="12" t="n"/>
      <c r="I46" s="12" t="n"/>
      <c r="J46" s="13">
        <f>IF($A46="","",CHOOSE(WEEKDAY($A46,2),"Mon","Tue","Wed","Thu","Fri","Sat","Sun"))</f>
        <v/>
      </c>
      <c r="K46" s="14">
        <f>IF($A46="","",IF(COUNTIFS($A$3:$A$202,"&lt;"&amp;$A46)=0,"",$A46-_xlfn.MAXIFS($A$3:$A$202,$A$3:$A$202,"&lt;"&amp;$A46)))</f>
        <v/>
      </c>
      <c r="L46" s="14">
        <f>IF($A46="","",$A46*10+IF($B46="",1,$B46))</f>
        <v/>
      </c>
    </row>
    <row r="47">
      <c r="A47" s="11" t="n"/>
      <c r="C47" s="12" t="n"/>
      <c r="F47" s="12" t="n"/>
      <c r="H47" s="12" t="n"/>
      <c r="I47" s="12" t="n"/>
      <c r="J47" s="13">
        <f>IF($A47="","",CHOOSE(WEEKDAY($A47,2),"Mon","Tue","Wed","Thu","Fri","Sat","Sun"))</f>
        <v/>
      </c>
      <c r="K47" s="14">
        <f>IF($A47="","",IF(COUNTIFS($A$3:$A$202,"&lt;"&amp;$A47)=0,"",$A47-_xlfn.MAXIFS($A$3:$A$202,$A$3:$A$202,"&lt;"&amp;$A47)))</f>
        <v/>
      </c>
      <c r="L47" s="14">
        <f>IF($A47="","",$A47*10+IF($B47="",1,$B47))</f>
        <v/>
      </c>
    </row>
    <row r="48">
      <c r="A48" s="11" t="n"/>
      <c r="C48" s="12" t="n"/>
      <c r="F48" s="12" t="n"/>
      <c r="H48" s="12" t="n"/>
      <c r="I48" s="12" t="n"/>
      <c r="J48" s="13">
        <f>IF($A48="","",CHOOSE(WEEKDAY($A48,2),"Mon","Tue","Wed","Thu","Fri","Sat","Sun"))</f>
        <v/>
      </c>
      <c r="K48" s="14">
        <f>IF($A48="","",IF(COUNTIFS($A$3:$A$202,"&lt;"&amp;$A48)=0,"",$A48-_xlfn.MAXIFS($A$3:$A$202,$A$3:$A$202,"&lt;"&amp;$A48)))</f>
        <v/>
      </c>
      <c r="L48" s="14">
        <f>IF($A48="","",$A48*10+IF($B48="",1,$B48))</f>
        <v/>
      </c>
    </row>
    <row r="49">
      <c r="A49" s="11" t="n"/>
      <c r="C49" s="12" t="n"/>
      <c r="F49" s="12" t="n"/>
      <c r="H49" s="12" t="n"/>
      <c r="I49" s="12" t="n"/>
      <c r="J49" s="13">
        <f>IF($A49="","",CHOOSE(WEEKDAY($A49,2),"Mon","Tue","Wed","Thu","Fri","Sat","Sun"))</f>
        <v/>
      </c>
      <c r="K49" s="14">
        <f>IF($A49="","",IF(COUNTIFS($A$3:$A$202,"&lt;"&amp;$A49)=0,"",$A49-_xlfn.MAXIFS($A$3:$A$202,$A$3:$A$202,"&lt;"&amp;$A49)))</f>
        <v/>
      </c>
      <c r="L49" s="14">
        <f>IF($A49="","",$A49*10+IF($B49="",1,$B49))</f>
        <v/>
      </c>
    </row>
    <row r="50">
      <c r="A50" s="11" t="n"/>
      <c r="C50" s="12" t="n"/>
      <c r="F50" s="12" t="n"/>
      <c r="H50" s="12" t="n"/>
      <c r="I50" s="12" t="n"/>
      <c r="J50" s="13">
        <f>IF($A50="","",CHOOSE(WEEKDAY($A50,2),"Mon","Tue","Wed","Thu","Fri","Sat","Sun"))</f>
        <v/>
      </c>
      <c r="K50" s="14">
        <f>IF($A50="","",IF(COUNTIFS($A$3:$A$202,"&lt;"&amp;$A50)=0,"",$A50-_xlfn.MAXIFS($A$3:$A$202,$A$3:$A$202,"&lt;"&amp;$A50)))</f>
        <v/>
      </c>
      <c r="L50" s="14">
        <f>IF($A50="","",$A50*10+IF($B50="",1,$B50))</f>
        <v/>
      </c>
    </row>
    <row r="51">
      <c r="A51" s="11" t="n"/>
      <c r="C51" s="12" t="n"/>
      <c r="F51" s="12" t="n"/>
      <c r="H51" s="12" t="n"/>
      <c r="I51" s="12" t="n"/>
      <c r="J51" s="13">
        <f>IF($A51="","",CHOOSE(WEEKDAY($A51,2),"Mon","Tue","Wed","Thu","Fri","Sat","Sun"))</f>
        <v/>
      </c>
      <c r="K51" s="14">
        <f>IF($A51="","",IF(COUNTIFS($A$3:$A$202,"&lt;"&amp;$A51)=0,"",$A51-_xlfn.MAXIFS($A$3:$A$202,$A$3:$A$202,"&lt;"&amp;$A51)))</f>
        <v/>
      </c>
      <c r="L51" s="14">
        <f>IF($A51="","",$A51*10+IF($B51="",1,$B51))</f>
        <v/>
      </c>
    </row>
    <row r="52">
      <c r="A52" s="11" t="n"/>
      <c r="C52" s="12" t="n"/>
      <c r="F52" s="12" t="n"/>
      <c r="H52" s="12" t="n"/>
      <c r="I52" s="12" t="n"/>
      <c r="J52" s="13">
        <f>IF($A52="","",CHOOSE(WEEKDAY($A52,2),"Mon","Tue","Wed","Thu","Fri","Sat","Sun"))</f>
        <v/>
      </c>
      <c r="K52" s="14">
        <f>IF($A52="","",IF(COUNTIFS($A$3:$A$202,"&lt;"&amp;$A52)=0,"",$A52-_xlfn.MAXIFS($A$3:$A$202,$A$3:$A$202,"&lt;"&amp;$A52)))</f>
        <v/>
      </c>
      <c r="L52" s="14">
        <f>IF($A52="","",$A52*10+IF($B52="",1,$B52))</f>
        <v/>
      </c>
    </row>
    <row r="53">
      <c r="A53" s="11" t="n"/>
      <c r="C53" s="12" t="n"/>
      <c r="F53" s="12" t="n"/>
      <c r="H53" s="12" t="n"/>
      <c r="I53" s="12" t="n"/>
      <c r="J53" s="13">
        <f>IF($A53="","",CHOOSE(WEEKDAY($A53,2),"Mon","Tue","Wed","Thu","Fri","Sat","Sun"))</f>
        <v/>
      </c>
      <c r="K53" s="14">
        <f>IF($A53="","",IF(COUNTIFS($A$3:$A$202,"&lt;"&amp;$A53)=0,"",$A53-_xlfn.MAXIFS($A$3:$A$202,$A$3:$A$202,"&lt;"&amp;$A53)))</f>
        <v/>
      </c>
      <c r="L53" s="14">
        <f>IF($A53="","",$A53*10+IF($B53="",1,$B53))</f>
        <v/>
      </c>
    </row>
    <row r="54">
      <c r="A54" s="11" t="n"/>
      <c r="C54" s="12" t="n"/>
      <c r="F54" s="12" t="n"/>
      <c r="H54" s="12" t="n"/>
      <c r="I54" s="12" t="n"/>
      <c r="J54" s="13">
        <f>IF($A54="","",CHOOSE(WEEKDAY($A54,2),"Mon","Tue","Wed","Thu","Fri","Sat","Sun"))</f>
        <v/>
      </c>
      <c r="K54" s="14">
        <f>IF($A54="","",IF(COUNTIFS($A$3:$A$202,"&lt;"&amp;$A54)=0,"",$A54-_xlfn.MAXIFS($A$3:$A$202,$A$3:$A$202,"&lt;"&amp;$A54)))</f>
        <v/>
      </c>
      <c r="L54" s="14">
        <f>IF($A54="","",$A54*10+IF($B54="",1,$B54))</f>
        <v/>
      </c>
    </row>
    <row r="55">
      <c r="A55" s="11" t="n"/>
      <c r="C55" s="12" t="n"/>
      <c r="F55" s="12" t="n"/>
      <c r="H55" s="12" t="n"/>
      <c r="I55" s="12" t="n"/>
      <c r="J55" s="13">
        <f>IF($A55="","",CHOOSE(WEEKDAY($A55,2),"Mon","Tue","Wed","Thu","Fri","Sat","Sun"))</f>
        <v/>
      </c>
      <c r="K55" s="14">
        <f>IF($A55="","",IF(COUNTIFS($A$3:$A$202,"&lt;"&amp;$A55)=0,"",$A55-_xlfn.MAXIFS($A$3:$A$202,$A$3:$A$202,"&lt;"&amp;$A55)))</f>
        <v/>
      </c>
      <c r="L55" s="14">
        <f>IF($A55="","",$A55*10+IF($B55="",1,$B55))</f>
        <v/>
      </c>
    </row>
    <row r="56">
      <c r="A56" s="11" t="n"/>
      <c r="C56" s="12" t="n"/>
      <c r="F56" s="12" t="n"/>
      <c r="H56" s="12" t="n"/>
      <c r="I56" s="12" t="n"/>
      <c r="J56" s="13">
        <f>IF($A56="","",CHOOSE(WEEKDAY($A56,2),"Mon","Tue","Wed","Thu","Fri","Sat","Sun"))</f>
        <v/>
      </c>
      <c r="K56" s="14">
        <f>IF($A56="","",IF(COUNTIFS($A$3:$A$202,"&lt;"&amp;$A56)=0,"",$A56-_xlfn.MAXIFS($A$3:$A$202,$A$3:$A$202,"&lt;"&amp;$A56)))</f>
        <v/>
      </c>
      <c r="L56" s="14">
        <f>IF($A56="","",$A56*10+IF($B56="",1,$B56))</f>
        <v/>
      </c>
    </row>
    <row r="57">
      <c r="A57" s="11" t="n"/>
      <c r="C57" s="12" t="n"/>
      <c r="F57" s="12" t="n"/>
      <c r="H57" s="12" t="n"/>
      <c r="I57" s="12" t="n"/>
      <c r="J57" s="13">
        <f>IF($A57="","",CHOOSE(WEEKDAY($A57,2),"Mon","Tue","Wed","Thu","Fri","Sat","Sun"))</f>
        <v/>
      </c>
      <c r="K57" s="14">
        <f>IF($A57="","",IF(COUNTIFS($A$3:$A$202,"&lt;"&amp;$A57)=0,"",$A57-_xlfn.MAXIFS($A$3:$A$202,$A$3:$A$202,"&lt;"&amp;$A57)))</f>
        <v/>
      </c>
      <c r="L57" s="14">
        <f>IF($A57="","",$A57*10+IF($B57="",1,$B57))</f>
        <v/>
      </c>
    </row>
    <row r="58">
      <c r="A58" s="11" t="n"/>
      <c r="C58" s="12" t="n"/>
      <c r="F58" s="12" t="n"/>
      <c r="H58" s="12" t="n"/>
      <c r="I58" s="12" t="n"/>
      <c r="J58" s="13">
        <f>IF($A58="","",CHOOSE(WEEKDAY($A58,2),"Mon","Tue","Wed","Thu","Fri","Sat","Sun"))</f>
        <v/>
      </c>
      <c r="K58" s="14">
        <f>IF($A58="","",IF(COUNTIFS($A$3:$A$202,"&lt;"&amp;$A58)=0,"",$A58-_xlfn.MAXIFS($A$3:$A$202,$A$3:$A$202,"&lt;"&amp;$A58)))</f>
        <v/>
      </c>
      <c r="L58" s="14">
        <f>IF($A58="","",$A58*10+IF($B58="",1,$B58))</f>
        <v/>
      </c>
    </row>
    <row r="59">
      <c r="A59" s="11" t="n"/>
      <c r="C59" s="12" t="n"/>
      <c r="F59" s="12" t="n"/>
      <c r="H59" s="12" t="n"/>
      <c r="I59" s="12" t="n"/>
      <c r="J59" s="13">
        <f>IF($A59="","",CHOOSE(WEEKDAY($A59,2),"Mon","Tue","Wed","Thu","Fri","Sat","Sun"))</f>
        <v/>
      </c>
      <c r="K59" s="14">
        <f>IF($A59="","",IF(COUNTIFS($A$3:$A$202,"&lt;"&amp;$A59)=0,"",$A59-_xlfn.MAXIFS($A$3:$A$202,$A$3:$A$202,"&lt;"&amp;$A59)))</f>
        <v/>
      </c>
      <c r="L59" s="14">
        <f>IF($A59="","",$A59*10+IF($B59="",1,$B59))</f>
        <v/>
      </c>
    </row>
    <row r="60">
      <c r="A60" s="11" t="n"/>
      <c r="C60" s="12" t="n"/>
      <c r="F60" s="12" t="n"/>
      <c r="H60" s="12" t="n"/>
      <c r="I60" s="12" t="n"/>
      <c r="J60" s="13">
        <f>IF($A60="","",CHOOSE(WEEKDAY($A60,2),"Mon","Tue","Wed","Thu","Fri","Sat","Sun"))</f>
        <v/>
      </c>
      <c r="K60" s="14">
        <f>IF($A60="","",IF(COUNTIFS($A$3:$A$202,"&lt;"&amp;$A60)=0,"",$A60-_xlfn.MAXIFS($A$3:$A$202,$A$3:$A$202,"&lt;"&amp;$A60)))</f>
        <v/>
      </c>
      <c r="L60" s="14">
        <f>IF($A60="","",$A60*10+IF($B60="",1,$B60))</f>
        <v/>
      </c>
    </row>
    <row r="61">
      <c r="A61" s="11" t="n"/>
      <c r="C61" s="12" t="n"/>
      <c r="F61" s="12" t="n"/>
      <c r="H61" s="12" t="n"/>
      <c r="I61" s="12" t="n"/>
      <c r="J61" s="13">
        <f>IF($A61="","",CHOOSE(WEEKDAY($A61,2),"Mon","Tue","Wed","Thu","Fri","Sat","Sun"))</f>
        <v/>
      </c>
      <c r="K61" s="14">
        <f>IF($A61="","",IF(COUNTIFS($A$3:$A$202,"&lt;"&amp;$A61)=0,"",$A61-_xlfn.MAXIFS($A$3:$A$202,$A$3:$A$202,"&lt;"&amp;$A61)))</f>
        <v/>
      </c>
      <c r="L61" s="14">
        <f>IF($A61="","",$A61*10+IF($B61="",1,$B61))</f>
        <v/>
      </c>
    </row>
    <row r="62">
      <c r="A62" s="11" t="n"/>
      <c r="C62" s="12" t="n"/>
      <c r="F62" s="12" t="n"/>
      <c r="H62" s="12" t="n"/>
      <c r="I62" s="12" t="n"/>
      <c r="J62" s="13">
        <f>IF($A62="","",CHOOSE(WEEKDAY($A62,2),"Mon","Tue","Wed","Thu","Fri","Sat","Sun"))</f>
        <v/>
      </c>
      <c r="K62" s="14">
        <f>IF($A62="","",IF(COUNTIFS($A$3:$A$202,"&lt;"&amp;$A62)=0,"",$A62-_xlfn.MAXIFS($A$3:$A$202,$A$3:$A$202,"&lt;"&amp;$A62)))</f>
        <v/>
      </c>
      <c r="L62" s="14">
        <f>IF($A62="","",$A62*10+IF($B62="",1,$B62))</f>
        <v/>
      </c>
    </row>
    <row r="63">
      <c r="A63" s="11" t="n"/>
      <c r="C63" s="12" t="n"/>
      <c r="F63" s="12" t="n"/>
      <c r="H63" s="12" t="n"/>
      <c r="I63" s="12" t="n"/>
      <c r="J63" s="13">
        <f>IF($A63="","",CHOOSE(WEEKDAY($A63,2),"Mon","Tue","Wed","Thu","Fri","Sat","Sun"))</f>
        <v/>
      </c>
      <c r="K63" s="14">
        <f>IF($A63="","",IF(COUNTIFS($A$3:$A$202,"&lt;"&amp;$A63)=0,"",$A63-_xlfn.MAXIFS($A$3:$A$202,$A$3:$A$202,"&lt;"&amp;$A63)))</f>
        <v/>
      </c>
      <c r="L63" s="14">
        <f>IF($A63="","",$A63*10+IF($B63="",1,$B63))</f>
        <v/>
      </c>
    </row>
    <row r="64">
      <c r="A64" s="11" t="n"/>
      <c r="C64" s="12" t="n"/>
      <c r="F64" s="12" t="n"/>
      <c r="H64" s="12" t="n"/>
      <c r="I64" s="12" t="n"/>
      <c r="J64" s="13">
        <f>IF($A64="","",CHOOSE(WEEKDAY($A64,2),"Mon","Tue","Wed","Thu","Fri","Sat","Sun"))</f>
        <v/>
      </c>
      <c r="K64" s="14">
        <f>IF($A64="","",IF(COUNTIFS($A$3:$A$202,"&lt;"&amp;$A64)=0,"",$A64-_xlfn.MAXIFS($A$3:$A$202,$A$3:$A$202,"&lt;"&amp;$A64)))</f>
        <v/>
      </c>
      <c r="L64" s="14">
        <f>IF($A64="","",$A64*10+IF($B64="",1,$B64))</f>
        <v/>
      </c>
    </row>
    <row r="65">
      <c r="A65" s="11" t="n"/>
      <c r="C65" s="12" t="n"/>
      <c r="F65" s="12" t="n"/>
      <c r="H65" s="12" t="n"/>
      <c r="I65" s="12" t="n"/>
      <c r="J65" s="13">
        <f>IF($A65="","",CHOOSE(WEEKDAY($A65,2),"Mon","Tue","Wed","Thu","Fri","Sat","Sun"))</f>
        <v/>
      </c>
      <c r="K65" s="14">
        <f>IF($A65="","",IF(COUNTIFS($A$3:$A$202,"&lt;"&amp;$A65)=0,"",$A65-_xlfn.MAXIFS($A$3:$A$202,$A$3:$A$202,"&lt;"&amp;$A65)))</f>
        <v/>
      </c>
      <c r="L65" s="14">
        <f>IF($A65="","",$A65*10+IF($B65="",1,$B65))</f>
        <v/>
      </c>
    </row>
    <row r="66">
      <c r="A66" s="11" t="n"/>
      <c r="C66" s="12" t="n"/>
      <c r="F66" s="12" t="n"/>
      <c r="H66" s="12" t="n"/>
      <c r="I66" s="12" t="n"/>
      <c r="J66" s="13">
        <f>IF($A66="","",CHOOSE(WEEKDAY($A66,2),"Mon","Tue","Wed","Thu","Fri","Sat","Sun"))</f>
        <v/>
      </c>
      <c r="K66" s="14">
        <f>IF($A66="","",IF(COUNTIFS($A$3:$A$202,"&lt;"&amp;$A66)=0,"",$A66-_xlfn.MAXIFS($A$3:$A$202,$A$3:$A$202,"&lt;"&amp;$A66)))</f>
        <v/>
      </c>
      <c r="L66" s="14">
        <f>IF($A66="","",$A66*10+IF($B66="",1,$B66))</f>
        <v/>
      </c>
    </row>
    <row r="67">
      <c r="A67" s="11" t="n"/>
      <c r="C67" s="12" t="n"/>
      <c r="F67" s="12" t="n"/>
      <c r="H67" s="12" t="n"/>
      <c r="I67" s="12" t="n"/>
      <c r="J67" s="13">
        <f>IF($A67="","",CHOOSE(WEEKDAY($A67,2),"Mon","Tue","Wed","Thu","Fri","Sat","Sun"))</f>
        <v/>
      </c>
      <c r="K67" s="14">
        <f>IF($A67="","",IF(COUNTIFS($A$3:$A$202,"&lt;"&amp;$A67)=0,"",$A67-_xlfn.MAXIFS($A$3:$A$202,$A$3:$A$202,"&lt;"&amp;$A67)))</f>
        <v/>
      </c>
      <c r="L67" s="14">
        <f>IF($A67="","",$A67*10+IF($B67="",1,$B67))</f>
        <v/>
      </c>
    </row>
    <row r="68">
      <c r="A68" s="11" t="n"/>
      <c r="C68" s="12" t="n"/>
      <c r="F68" s="12" t="n"/>
      <c r="H68" s="12" t="n"/>
      <c r="I68" s="12" t="n"/>
      <c r="J68" s="13">
        <f>IF($A68="","",CHOOSE(WEEKDAY($A68,2),"Mon","Tue","Wed","Thu","Fri","Sat","Sun"))</f>
        <v/>
      </c>
      <c r="K68" s="14">
        <f>IF($A68="","",IF(COUNTIFS($A$3:$A$202,"&lt;"&amp;$A68)=0,"",$A68-_xlfn.MAXIFS($A$3:$A$202,$A$3:$A$202,"&lt;"&amp;$A68)))</f>
        <v/>
      </c>
      <c r="L68" s="14">
        <f>IF($A68="","",$A68*10+IF($B68="",1,$B68))</f>
        <v/>
      </c>
    </row>
    <row r="69">
      <c r="A69" s="11" t="n"/>
      <c r="C69" s="12" t="n"/>
      <c r="F69" s="12" t="n"/>
      <c r="H69" s="12" t="n"/>
      <c r="I69" s="12" t="n"/>
      <c r="J69" s="13">
        <f>IF($A69="","",CHOOSE(WEEKDAY($A69,2),"Mon","Tue","Wed","Thu","Fri","Sat","Sun"))</f>
        <v/>
      </c>
      <c r="K69" s="14">
        <f>IF($A69="","",IF(COUNTIFS($A$3:$A$202,"&lt;"&amp;$A69)=0,"",$A69-_xlfn.MAXIFS($A$3:$A$202,$A$3:$A$202,"&lt;"&amp;$A69)))</f>
        <v/>
      </c>
      <c r="L69" s="14">
        <f>IF($A69="","",$A69*10+IF($B69="",1,$B69))</f>
        <v/>
      </c>
    </row>
    <row r="70">
      <c r="A70" s="11" t="n"/>
      <c r="C70" s="12" t="n"/>
      <c r="F70" s="12" t="n"/>
      <c r="H70" s="12" t="n"/>
      <c r="I70" s="12" t="n"/>
      <c r="J70" s="13">
        <f>IF($A70="","",CHOOSE(WEEKDAY($A70,2),"Mon","Tue","Wed","Thu","Fri","Sat","Sun"))</f>
        <v/>
      </c>
      <c r="K70" s="14">
        <f>IF($A70="","",IF(COUNTIFS($A$3:$A$202,"&lt;"&amp;$A70)=0,"",$A70-_xlfn.MAXIFS($A$3:$A$202,$A$3:$A$202,"&lt;"&amp;$A70)))</f>
        <v/>
      </c>
      <c r="L70" s="14">
        <f>IF($A70="","",$A70*10+IF($B70="",1,$B70))</f>
        <v/>
      </c>
    </row>
    <row r="71">
      <c r="A71" s="11" t="n"/>
      <c r="C71" s="12" t="n"/>
      <c r="F71" s="12" t="n"/>
      <c r="H71" s="12" t="n"/>
      <c r="I71" s="12" t="n"/>
      <c r="J71" s="13">
        <f>IF($A71="","",CHOOSE(WEEKDAY($A71,2),"Mon","Tue","Wed","Thu","Fri","Sat","Sun"))</f>
        <v/>
      </c>
      <c r="K71" s="14">
        <f>IF($A71="","",IF(COUNTIFS($A$3:$A$202,"&lt;"&amp;$A71)=0,"",$A71-_xlfn.MAXIFS($A$3:$A$202,$A$3:$A$202,"&lt;"&amp;$A71)))</f>
        <v/>
      </c>
      <c r="L71" s="14">
        <f>IF($A71="","",$A71*10+IF($B71="",1,$B71))</f>
        <v/>
      </c>
    </row>
    <row r="72">
      <c r="A72" s="11" t="n"/>
      <c r="C72" s="12" t="n"/>
      <c r="F72" s="12" t="n"/>
      <c r="H72" s="12" t="n"/>
      <c r="I72" s="12" t="n"/>
      <c r="J72" s="13">
        <f>IF($A72="","",CHOOSE(WEEKDAY($A72,2),"Mon","Tue","Wed","Thu","Fri","Sat","Sun"))</f>
        <v/>
      </c>
      <c r="K72" s="14">
        <f>IF($A72="","",IF(COUNTIFS($A$3:$A$202,"&lt;"&amp;$A72)=0,"",$A72-_xlfn.MAXIFS($A$3:$A$202,$A$3:$A$202,"&lt;"&amp;$A72)))</f>
        <v/>
      </c>
      <c r="L72" s="14">
        <f>IF($A72="","",$A72*10+IF($B72="",1,$B72))</f>
        <v/>
      </c>
    </row>
    <row r="73">
      <c r="A73" s="11" t="n"/>
      <c r="C73" s="12" t="n"/>
      <c r="F73" s="12" t="n"/>
      <c r="H73" s="12" t="n"/>
      <c r="I73" s="12" t="n"/>
      <c r="J73" s="13">
        <f>IF($A73="","",CHOOSE(WEEKDAY($A73,2),"Mon","Tue","Wed","Thu","Fri","Sat","Sun"))</f>
        <v/>
      </c>
      <c r="K73" s="14">
        <f>IF($A73="","",IF(COUNTIFS($A$3:$A$202,"&lt;"&amp;$A73)=0,"",$A73-_xlfn.MAXIFS($A$3:$A$202,$A$3:$A$202,"&lt;"&amp;$A73)))</f>
        <v/>
      </c>
      <c r="L73" s="14">
        <f>IF($A73="","",$A73*10+IF($B73="",1,$B73))</f>
        <v/>
      </c>
    </row>
    <row r="74">
      <c r="A74" s="11" t="n"/>
      <c r="C74" s="12" t="n"/>
      <c r="F74" s="12" t="n"/>
      <c r="H74" s="12" t="n"/>
      <c r="I74" s="12" t="n"/>
      <c r="J74" s="13">
        <f>IF($A74="","",CHOOSE(WEEKDAY($A74,2),"Mon","Tue","Wed","Thu","Fri","Sat","Sun"))</f>
        <v/>
      </c>
      <c r="K74" s="14">
        <f>IF($A74="","",IF(COUNTIFS($A$3:$A$202,"&lt;"&amp;$A74)=0,"",$A74-_xlfn.MAXIFS($A$3:$A$202,$A$3:$A$202,"&lt;"&amp;$A74)))</f>
        <v/>
      </c>
      <c r="L74" s="14">
        <f>IF($A74="","",$A74*10+IF($B74="",1,$B74))</f>
        <v/>
      </c>
    </row>
    <row r="75">
      <c r="A75" s="11" t="n"/>
      <c r="C75" s="12" t="n"/>
      <c r="F75" s="12" t="n"/>
      <c r="H75" s="12" t="n"/>
      <c r="I75" s="12" t="n"/>
      <c r="J75" s="13">
        <f>IF($A75="","",CHOOSE(WEEKDAY($A75,2),"Mon","Tue","Wed","Thu","Fri","Sat","Sun"))</f>
        <v/>
      </c>
      <c r="K75" s="14">
        <f>IF($A75="","",IF(COUNTIFS($A$3:$A$202,"&lt;"&amp;$A75)=0,"",$A75-_xlfn.MAXIFS($A$3:$A$202,$A$3:$A$202,"&lt;"&amp;$A75)))</f>
        <v/>
      </c>
      <c r="L75" s="14">
        <f>IF($A75="","",$A75*10+IF($B75="",1,$B75))</f>
        <v/>
      </c>
    </row>
    <row r="76">
      <c r="A76" s="11" t="n"/>
      <c r="C76" s="12" t="n"/>
      <c r="F76" s="12" t="n"/>
      <c r="H76" s="12" t="n"/>
      <c r="I76" s="12" t="n"/>
      <c r="J76" s="13">
        <f>IF($A76="","",CHOOSE(WEEKDAY($A76,2),"Mon","Tue","Wed","Thu","Fri","Sat","Sun"))</f>
        <v/>
      </c>
      <c r="K76" s="14">
        <f>IF($A76="","",IF(COUNTIFS($A$3:$A$202,"&lt;"&amp;$A76)=0,"",$A76-_xlfn.MAXIFS($A$3:$A$202,$A$3:$A$202,"&lt;"&amp;$A76)))</f>
        <v/>
      </c>
      <c r="L76" s="14">
        <f>IF($A76="","",$A76*10+IF($B76="",1,$B76))</f>
        <v/>
      </c>
    </row>
    <row r="77">
      <c r="A77" s="11" t="n"/>
      <c r="C77" s="12" t="n"/>
      <c r="F77" s="12" t="n"/>
      <c r="H77" s="12" t="n"/>
      <c r="I77" s="12" t="n"/>
      <c r="J77" s="13">
        <f>IF($A77="","",CHOOSE(WEEKDAY($A77,2),"Mon","Tue","Wed","Thu","Fri","Sat","Sun"))</f>
        <v/>
      </c>
      <c r="K77" s="14">
        <f>IF($A77="","",IF(COUNTIFS($A$3:$A$202,"&lt;"&amp;$A77)=0,"",$A77-_xlfn.MAXIFS($A$3:$A$202,$A$3:$A$202,"&lt;"&amp;$A77)))</f>
        <v/>
      </c>
      <c r="L77" s="14">
        <f>IF($A77="","",$A77*10+IF($B77="",1,$B77))</f>
        <v/>
      </c>
    </row>
    <row r="78">
      <c r="A78" s="11" t="n"/>
      <c r="C78" s="12" t="n"/>
      <c r="F78" s="12" t="n"/>
      <c r="H78" s="12" t="n"/>
      <c r="I78" s="12" t="n"/>
      <c r="J78" s="13">
        <f>IF($A78="","",CHOOSE(WEEKDAY($A78,2),"Mon","Tue","Wed","Thu","Fri","Sat","Sun"))</f>
        <v/>
      </c>
      <c r="K78" s="14">
        <f>IF($A78="","",IF(COUNTIFS($A$3:$A$202,"&lt;"&amp;$A78)=0,"",$A78-_xlfn.MAXIFS($A$3:$A$202,$A$3:$A$202,"&lt;"&amp;$A78)))</f>
        <v/>
      </c>
      <c r="L78" s="14">
        <f>IF($A78="","",$A78*10+IF($B78="",1,$B78))</f>
        <v/>
      </c>
    </row>
    <row r="79">
      <c r="A79" s="11" t="n"/>
      <c r="C79" s="12" t="n"/>
      <c r="F79" s="12" t="n"/>
      <c r="H79" s="12" t="n"/>
      <c r="I79" s="12" t="n"/>
      <c r="J79" s="13">
        <f>IF($A79="","",CHOOSE(WEEKDAY($A79,2),"Mon","Tue","Wed","Thu","Fri","Sat","Sun"))</f>
        <v/>
      </c>
      <c r="K79" s="14">
        <f>IF($A79="","",IF(COUNTIFS($A$3:$A$202,"&lt;"&amp;$A79)=0,"",$A79-_xlfn.MAXIFS($A$3:$A$202,$A$3:$A$202,"&lt;"&amp;$A79)))</f>
        <v/>
      </c>
      <c r="L79" s="14">
        <f>IF($A79="","",$A79*10+IF($B79="",1,$B79))</f>
        <v/>
      </c>
    </row>
    <row r="80">
      <c r="A80" s="11" t="n"/>
      <c r="C80" s="12" t="n"/>
      <c r="F80" s="12" t="n"/>
      <c r="H80" s="12" t="n"/>
      <c r="I80" s="12" t="n"/>
      <c r="J80" s="13">
        <f>IF($A80="","",CHOOSE(WEEKDAY($A80,2),"Mon","Tue","Wed","Thu","Fri","Sat","Sun"))</f>
        <v/>
      </c>
      <c r="K80" s="14">
        <f>IF($A80="","",IF(COUNTIFS($A$3:$A$202,"&lt;"&amp;$A80)=0,"",$A80-_xlfn.MAXIFS($A$3:$A$202,$A$3:$A$202,"&lt;"&amp;$A80)))</f>
        <v/>
      </c>
      <c r="L80" s="14">
        <f>IF($A80="","",$A80*10+IF($B80="",1,$B80))</f>
        <v/>
      </c>
    </row>
    <row r="81">
      <c r="A81" s="11" t="n"/>
      <c r="C81" s="12" t="n"/>
      <c r="F81" s="12" t="n"/>
      <c r="H81" s="12" t="n"/>
      <c r="I81" s="12" t="n"/>
      <c r="J81" s="13">
        <f>IF($A81="","",CHOOSE(WEEKDAY($A81,2),"Mon","Tue","Wed","Thu","Fri","Sat","Sun"))</f>
        <v/>
      </c>
      <c r="K81" s="14">
        <f>IF($A81="","",IF(COUNTIFS($A$3:$A$202,"&lt;"&amp;$A81)=0,"",$A81-_xlfn.MAXIFS($A$3:$A$202,$A$3:$A$202,"&lt;"&amp;$A81)))</f>
        <v/>
      </c>
      <c r="L81" s="14">
        <f>IF($A81="","",$A81*10+IF($B81="",1,$B81))</f>
        <v/>
      </c>
    </row>
    <row r="82">
      <c r="A82" s="11" t="n"/>
      <c r="C82" s="12" t="n"/>
      <c r="F82" s="12" t="n"/>
      <c r="H82" s="12" t="n"/>
      <c r="I82" s="12" t="n"/>
      <c r="J82" s="13">
        <f>IF($A82="","",CHOOSE(WEEKDAY($A82,2),"Mon","Tue","Wed","Thu","Fri","Sat","Sun"))</f>
        <v/>
      </c>
      <c r="K82" s="14">
        <f>IF($A82="","",IF(COUNTIFS($A$3:$A$202,"&lt;"&amp;$A82)=0,"",$A82-_xlfn.MAXIFS($A$3:$A$202,$A$3:$A$202,"&lt;"&amp;$A82)))</f>
        <v/>
      </c>
      <c r="L82" s="14">
        <f>IF($A82="","",$A82*10+IF($B82="",1,$B82))</f>
        <v/>
      </c>
    </row>
    <row r="83">
      <c r="A83" s="11" t="n"/>
      <c r="C83" s="12" t="n"/>
      <c r="F83" s="12" t="n"/>
      <c r="H83" s="12" t="n"/>
      <c r="I83" s="12" t="n"/>
      <c r="J83" s="13">
        <f>IF($A83="","",CHOOSE(WEEKDAY($A83,2),"Mon","Tue","Wed","Thu","Fri","Sat","Sun"))</f>
        <v/>
      </c>
      <c r="K83" s="14">
        <f>IF($A83="","",IF(COUNTIFS($A$3:$A$202,"&lt;"&amp;$A83)=0,"",$A83-_xlfn.MAXIFS($A$3:$A$202,$A$3:$A$202,"&lt;"&amp;$A83)))</f>
        <v/>
      </c>
      <c r="L83" s="14">
        <f>IF($A83="","",$A83*10+IF($B83="",1,$B83))</f>
        <v/>
      </c>
    </row>
    <row r="84">
      <c r="A84" s="11" t="n"/>
      <c r="C84" s="12" t="n"/>
      <c r="F84" s="12" t="n"/>
      <c r="H84" s="12" t="n"/>
      <c r="I84" s="12" t="n"/>
      <c r="J84" s="13">
        <f>IF($A84="","",CHOOSE(WEEKDAY($A84,2),"Mon","Tue","Wed","Thu","Fri","Sat","Sun"))</f>
        <v/>
      </c>
      <c r="K84" s="14">
        <f>IF($A84="","",IF(COUNTIFS($A$3:$A$202,"&lt;"&amp;$A84)=0,"",$A84-_xlfn.MAXIFS($A$3:$A$202,$A$3:$A$202,"&lt;"&amp;$A84)))</f>
        <v/>
      </c>
      <c r="L84" s="14">
        <f>IF($A84="","",$A84*10+IF($B84="",1,$B84))</f>
        <v/>
      </c>
    </row>
    <row r="85">
      <c r="A85" s="11" t="n"/>
      <c r="C85" s="12" t="n"/>
      <c r="F85" s="12" t="n"/>
      <c r="H85" s="12" t="n"/>
      <c r="I85" s="12" t="n"/>
      <c r="J85" s="13">
        <f>IF($A85="","",CHOOSE(WEEKDAY($A85,2),"Mon","Tue","Wed","Thu","Fri","Sat","Sun"))</f>
        <v/>
      </c>
      <c r="K85" s="14">
        <f>IF($A85="","",IF(COUNTIFS($A$3:$A$202,"&lt;"&amp;$A85)=0,"",$A85-_xlfn.MAXIFS($A$3:$A$202,$A$3:$A$202,"&lt;"&amp;$A85)))</f>
        <v/>
      </c>
      <c r="L85" s="14">
        <f>IF($A85="","",$A85*10+IF($B85="",1,$B85))</f>
        <v/>
      </c>
    </row>
    <row r="86">
      <c r="A86" s="11" t="n"/>
      <c r="C86" s="12" t="n"/>
      <c r="F86" s="12" t="n"/>
      <c r="H86" s="12" t="n"/>
      <c r="I86" s="12" t="n"/>
      <c r="J86" s="13">
        <f>IF($A86="","",CHOOSE(WEEKDAY($A86,2),"Mon","Tue","Wed","Thu","Fri","Sat","Sun"))</f>
        <v/>
      </c>
      <c r="K86" s="14">
        <f>IF($A86="","",IF(COUNTIFS($A$3:$A$202,"&lt;"&amp;$A86)=0,"",$A86-_xlfn.MAXIFS($A$3:$A$202,$A$3:$A$202,"&lt;"&amp;$A86)))</f>
        <v/>
      </c>
      <c r="L86" s="14">
        <f>IF($A86="","",$A86*10+IF($B86="",1,$B86))</f>
        <v/>
      </c>
    </row>
    <row r="87">
      <c r="A87" s="11" t="n"/>
      <c r="C87" s="12" t="n"/>
      <c r="F87" s="12" t="n"/>
      <c r="H87" s="12" t="n"/>
      <c r="I87" s="12" t="n"/>
      <c r="J87" s="13">
        <f>IF($A87="","",CHOOSE(WEEKDAY($A87,2),"Mon","Tue","Wed","Thu","Fri","Sat","Sun"))</f>
        <v/>
      </c>
      <c r="K87" s="14">
        <f>IF($A87="","",IF(COUNTIFS($A$3:$A$202,"&lt;"&amp;$A87)=0,"",$A87-_xlfn.MAXIFS($A$3:$A$202,$A$3:$A$202,"&lt;"&amp;$A87)))</f>
        <v/>
      </c>
      <c r="L87" s="14">
        <f>IF($A87="","",$A87*10+IF($B87="",1,$B87))</f>
        <v/>
      </c>
    </row>
    <row r="88">
      <c r="A88" s="11" t="n"/>
      <c r="C88" s="12" t="n"/>
      <c r="F88" s="12" t="n"/>
      <c r="H88" s="12" t="n"/>
      <c r="I88" s="12" t="n"/>
      <c r="J88" s="13">
        <f>IF($A88="","",CHOOSE(WEEKDAY($A88,2),"Mon","Tue","Wed","Thu","Fri","Sat","Sun"))</f>
        <v/>
      </c>
      <c r="K88" s="14">
        <f>IF($A88="","",IF(COUNTIFS($A$3:$A$202,"&lt;"&amp;$A88)=0,"",$A88-_xlfn.MAXIFS($A$3:$A$202,$A$3:$A$202,"&lt;"&amp;$A88)))</f>
        <v/>
      </c>
      <c r="L88" s="14">
        <f>IF($A88="","",$A88*10+IF($B88="",1,$B88))</f>
        <v/>
      </c>
    </row>
    <row r="89">
      <c r="A89" s="11" t="n"/>
      <c r="C89" s="12" t="n"/>
      <c r="F89" s="12" t="n"/>
      <c r="H89" s="12" t="n"/>
      <c r="I89" s="12" t="n"/>
      <c r="J89" s="13">
        <f>IF($A89="","",CHOOSE(WEEKDAY($A89,2),"Mon","Tue","Wed","Thu","Fri","Sat","Sun"))</f>
        <v/>
      </c>
      <c r="K89" s="14">
        <f>IF($A89="","",IF(COUNTIFS($A$3:$A$202,"&lt;"&amp;$A89)=0,"",$A89-_xlfn.MAXIFS($A$3:$A$202,$A$3:$A$202,"&lt;"&amp;$A89)))</f>
        <v/>
      </c>
      <c r="L89" s="14">
        <f>IF($A89="","",$A89*10+IF($B89="",1,$B89))</f>
        <v/>
      </c>
    </row>
    <row r="90">
      <c r="A90" s="11" t="n"/>
      <c r="C90" s="12" t="n"/>
      <c r="F90" s="12" t="n"/>
      <c r="H90" s="12" t="n"/>
      <c r="I90" s="12" t="n"/>
      <c r="J90" s="13">
        <f>IF($A90="","",CHOOSE(WEEKDAY($A90,2),"Mon","Tue","Wed","Thu","Fri","Sat","Sun"))</f>
        <v/>
      </c>
      <c r="K90" s="14">
        <f>IF($A90="","",IF(COUNTIFS($A$3:$A$202,"&lt;"&amp;$A90)=0,"",$A90-_xlfn.MAXIFS($A$3:$A$202,$A$3:$A$202,"&lt;"&amp;$A90)))</f>
        <v/>
      </c>
      <c r="L90" s="14">
        <f>IF($A90="","",$A90*10+IF($B90="",1,$B90))</f>
        <v/>
      </c>
    </row>
    <row r="91">
      <c r="A91" s="11" t="n"/>
      <c r="C91" s="12" t="n"/>
      <c r="F91" s="12" t="n"/>
      <c r="H91" s="12" t="n"/>
      <c r="I91" s="12" t="n"/>
      <c r="J91" s="13">
        <f>IF($A91="","",CHOOSE(WEEKDAY($A91,2),"Mon","Tue","Wed","Thu","Fri","Sat","Sun"))</f>
        <v/>
      </c>
      <c r="K91" s="14">
        <f>IF($A91="","",IF(COUNTIFS($A$3:$A$202,"&lt;"&amp;$A91)=0,"",$A91-_xlfn.MAXIFS($A$3:$A$202,$A$3:$A$202,"&lt;"&amp;$A91)))</f>
        <v/>
      </c>
      <c r="L91" s="14">
        <f>IF($A91="","",$A91*10+IF($B91="",1,$B91))</f>
        <v/>
      </c>
    </row>
    <row r="92">
      <c r="A92" s="11" t="n"/>
      <c r="C92" s="12" t="n"/>
      <c r="F92" s="12" t="n"/>
      <c r="H92" s="12" t="n"/>
      <c r="I92" s="12" t="n"/>
      <c r="J92" s="13">
        <f>IF($A92="","",CHOOSE(WEEKDAY($A92,2),"Mon","Tue","Wed","Thu","Fri","Sat","Sun"))</f>
        <v/>
      </c>
      <c r="K92" s="14">
        <f>IF($A92="","",IF(COUNTIFS($A$3:$A$202,"&lt;"&amp;$A92)=0,"",$A92-_xlfn.MAXIFS($A$3:$A$202,$A$3:$A$202,"&lt;"&amp;$A92)))</f>
        <v/>
      </c>
      <c r="L92" s="14">
        <f>IF($A92="","",$A92*10+IF($B92="",1,$B92))</f>
        <v/>
      </c>
    </row>
    <row r="93">
      <c r="A93" s="11" t="n"/>
      <c r="C93" s="12" t="n"/>
      <c r="F93" s="12" t="n"/>
      <c r="H93" s="12" t="n"/>
      <c r="I93" s="12" t="n"/>
      <c r="J93" s="13">
        <f>IF($A93="","",CHOOSE(WEEKDAY($A93,2),"Mon","Tue","Wed","Thu","Fri","Sat","Sun"))</f>
        <v/>
      </c>
      <c r="K93" s="14">
        <f>IF($A93="","",IF(COUNTIFS($A$3:$A$202,"&lt;"&amp;$A93)=0,"",$A93-_xlfn.MAXIFS($A$3:$A$202,$A$3:$A$202,"&lt;"&amp;$A93)))</f>
        <v/>
      </c>
      <c r="L93" s="14">
        <f>IF($A93="","",$A93*10+IF($B93="",1,$B93))</f>
        <v/>
      </c>
    </row>
    <row r="94">
      <c r="A94" s="11" t="n"/>
      <c r="C94" s="12" t="n"/>
      <c r="F94" s="12" t="n"/>
      <c r="H94" s="12" t="n"/>
      <c r="I94" s="12" t="n"/>
      <c r="J94" s="13">
        <f>IF($A94="","",CHOOSE(WEEKDAY($A94,2),"Mon","Tue","Wed","Thu","Fri","Sat","Sun"))</f>
        <v/>
      </c>
      <c r="K94" s="14">
        <f>IF($A94="","",IF(COUNTIFS($A$3:$A$202,"&lt;"&amp;$A94)=0,"",$A94-_xlfn.MAXIFS($A$3:$A$202,$A$3:$A$202,"&lt;"&amp;$A94)))</f>
        <v/>
      </c>
      <c r="L94" s="14">
        <f>IF($A94="","",$A94*10+IF($B94="",1,$B94))</f>
        <v/>
      </c>
    </row>
    <row r="95">
      <c r="A95" s="11" t="n"/>
      <c r="C95" s="12" t="n"/>
      <c r="F95" s="12" t="n"/>
      <c r="H95" s="12" t="n"/>
      <c r="I95" s="12" t="n"/>
      <c r="J95" s="13">
        <f>IF($A95="","",CHOOSE(WEEKDAY($A95,2),"Mon","Tue","Wed","Thu","Fri","Sat","Sun"))</f>
        <v/>
      </c>
      <c r="K95" s="14">
        <f>IF($A95="","",IF(COUNTIFS($A$3:$A$202,"&lt;"&amp;$A95)=0,"",$A95-_xlfn.MAXIFS($A$3:$A$202,$A$3:$A$202,"&lt;"&amp;$A95)))</f>
        <v/>
      </c>
      <c r="L95" s="14">
        <f>IF($A95="","",$A95*10+IF($B95="",1,$B95))</f>
        <v/>
      </c>
    </row>
    <row r="96">
      <c r="A96" s="11" t="n"/>
      <c r="C96" s="12" t="n"/>
      <c r="F96" s="12" t="n"/>
      <c r="H96" s="12" t="n"/>
      <c r="I96" s="12" t="n"/>
      <c r="J96" s="13">
        <f>IF($A96="","",CHOOSE(WEEKDAY($A96,2),"Mon","Tue","Wed","Thu","Fri","Sat","Sun"))</f>
        <v/>
      </c>
      <c r="K96" s="14">
        <f>IF($A96="","",IF(COUNTIFS($A$3:$A$202,"&lt;"&amp;$A96)=0,"",$A96-_xlfn.MAXIFS($A$3:$A$202,$A$3:$A$202,"&lt;"&amp;$A96)))</f>
        <v/>
      </c>
      <c r="L96" s="14">
        <f>IF($A96="","",$A96*10+IF($B96="",1,$B96))</f>
        <v/>
      </c>
    </row>
    <row r="97">
      <c r="A97" s="11" t="n"/>
      <c r="C97" s="12" t="n"/>
      <c r="F97" s="12" t="n"/>
      <c r="H97" s="12" t="n"/>
      <c r="I97" s="12" t="n"/>
      <c r="J97" s="13">
        <f>IF($A97="","",CHOOSE(WEEKDAY($A97,2),"Mon","Tue","Wed","Thu","Fri","Sat","Sun"))</f>
        <v/>
      </c>
      <c r="K97" s="14">
        <f>IF($A97="","",IF(COUNTIFS($A$3:$A$202,"&lt;"&amp;$A97)=0,"",$A97-_xlfn.MAXIFS($A$3:$A$202,$A$3:$A$202,"&lt;"&amp;$A97)))</f>
        <v/>
      </c>
      <c r="L97" s="14">
        <f>IF($A97="","",$A97*10+IF($B97="",1,$B97))</f>
        <v/>
      </c>
    </row>
    <row r="98">
      <c r="A98" s="11" t="n"/>
      <c r="C98" s="12" t="n"/>
      <c r="F98" s="12" t="n"/>
      <c r="H98" s="12" t="n"/>
      <c r="I98" s="12" t="n"/>
      <c r="J98" s="13">
        <f>IF($A98="","",CHOOSE(WEEKDAY($A98,2),"Mon","Tue","Wed","Thu","Fri","Sat","Sun"))</f>
        <v/>
      </c>
      <c r="K98" s="14">
        <f>IF($A98="","",IF(COUNTIFS($A$3:$A$202,"&lt;"&amp;$A98)=0,"",$A98-_xlfn.MAXIFS($A$3:$A$202,$A$3:$A$202,"&lt;"&amp;$A98)))</f>
        <v/>
      </c>
      <c r="L98" s="14">
        <f>IF($A98="","",$A98*10+IF($B98="",1,$B98))</f>
        <v/>
      </c>
    </row>
    <row r="99">
      <c r="A99" s="11" t="n"/>
      <c r="C99" s="12" t="n"/>
      <c r="F99" s="12" t="n"/>
      <c r="H99" s="12" t="n"/>
      <c r="I99" s="12" t="n"/>
      <c r="J99" s="13">
        <f>IF($A99="","",CHOOSE(WEEKDAY($A99,2),"Mon","Tue","Wed","Thu","Fri","Sat","Sun"))</f>
        <v/>
      </c>
      <c r="K99" s="14">
        <f>IF($A99="","",IF(COUNTIFS($A$3:$A$202,"&lt;"&amp;$A99)=0,"",$A99-_xlfn.MAXIFS($A$3:$A$202,$A$3:$A$202,"&lt;"&amp;$A99)))</f>
        <v/>
      </c>
      <c r="L99" s="14">
        <f>IF($A99="","",$A99*10+IF($B99="",1,$B99))</f>
        <v/>
      </c>
    </row>
    <row r="100">
      <c r="A100" s="11" t="n"/>
      <c r="C100" s="12" t="n"/>
      <c r="F100" s="12" t="n"/>
      <c r="H100" s="12" t="n"/>
      <c r="I100" s="12" t="n"/>
      <c r="J100" s="13">
        <f>IF($A100="","",CHOOSE(WEEKDAY($A100,2),"Mon","Tue","Wed","Thu","Fri","Sat","Sun"))</f>
        <v/>
      </c>
      <c r="K100" s="14">
        <f>IF($A100="","",IF(COUNTIFS($A$3:$A$202,"&lt;"&amp;$A100)=0,"",$A100-_xlfn.MAXIFS($A$3:$A$202,$A$3:$A$202,"&lt;"&amp;$A100)))</f>
        <v/>
      </c>
      <c r="L100" s="14">
        <f>IF($A100="","",$A100*10+IF($B100="",1,$B100))</f>
        <v/>
      </c>
    </row>
    <row r="101">
      <c r="A101" s="11" t="n"/>
      <c r="C101" s="12" t="n"/>
      <c r="F101" s="12" t="n"/>
      <c r="H101" s="12" t="n"/>
      <c r="I101" s="12" t="n"/>
      <c r="J101" s="13">
        <f>IF($A101="","",CHOOSE(WEEKDAY($A101,2),"Mon","Tue","Wed","Thu","Fri","Sat","Sun"))</f>
        <v/>
      </c>
      <c r="K101" s="14">
        <f>IF($A101="","",IF(COUNTIFS($A$3:$A$202,"&lt;"&amp;$A101)=0,"",$A101-_xlfn.MAXIFS($A$3:$A$202,$A$3:$A$202,"&lt;"&amp;$A101)))</f>
        <v/>
      </c>
      <c r="L101" s="14">
        <f>IF($A101="","",$A101*10+IF($B101="",1,$B101))</f>
        <v/>
      </c>
    </row>
    <row r="102">
      <c r="A102" s="11" t="n"/>
      <c r="C102" s="12" t="n"/>
      <c r="F102" s="12" t="n"/>
      <c r="H102" s="12" t="n"/>
      <c r="I102" s="12" t="n"/>
      <c r="J102" s="13">
        <f>IF($A102="","",CHOOSE(WEEKDAY($A102,2),"Mon","Tue","Wed","Thu","Fri","Sat","Sun"))</f>
        <v/>
      </c>
      <c r="K102" s="14">
        <f>IF($A102="","",IF(COUNTIFS($A$3:$A$202,"&lt;"&amp;$A102)=0,"",$A102-_xlfn.MAXIFS($A$3:$A$202,$A$3:$A$202,"&lt;"&amp;$A102)))</f>
        <v/>
      </c>
      <c r="L102" s="14">
        <f>IF($A102="","",$A102*10+IF($B102="",1,$B102))</f>
        <v/>
      </c>
    </row>
    <row r="103">
      <c r="A103" s="11" t="n"/>
      <c r="C103" s="12" t="n"/>
      <c r="F103" s="12" t="n"/>
      <c r="H103" s="12" t="n"/>
      <c r="I103" s="12" t="n"/>
      <c r="J103" s="13">
        <f>IF($A103="","",CHOOSE(WEEKDAY($A103,2),"Mon","Tue","Wed","Thu","Fri","Sat","Sun"))</f>
        <v/>
      </c>
      <c r="K103" s="14">
        <f>IF($A103="","",IF(COUNTIFS($A$3:$A$202,"&lt;"&amp;$A103)=0,"",$A103-_xlfn.MAXIFS($A$3:$A$202,$A$3:$A$202,"&lt;"&amp;$A103)))</f>
        <v/>
      </c>
      <c r="L103" s="14">
        <f>IF($A103="","",$A103*10+IF($B103="",1,$B103))</f>
        <v/>
      </c>
    </row>
    <row r="104">
      <c r="A104" s="11" t="n"/>
      <c r="C104" s="12" t="n"/>
      <c r="F104" s="12" t="n"/>
      <c r="H104" s="12" t="n"/>
      <c r="I104" s="12" t="n"/>
      <c r="J104" s="13">
        <f>IF($A104="","",CHOOSE(WEEKDAY($A104,2),"Mon","Tue","Wed","Thu","Fri","Sat","Sun"))</f>
        <v/>
      </c>
      <c r="K104" s="14">
        <f>IF($A104="","",IF(COUNTIFS($A$3:$A$202,"&lt;"&amp;$A104)=0,"",$A104-_xlfn.MAXIFS($A$3:$A$202,$A$3:$A$202,"&lt;"&amp;$A104)))</f>
        <v/>
      </c>
      <c r="L104" s="14">
        <f>IF($A104="","",$A104*10+IF($B104="",1,$B104))</f>
        <v/>
      </c>
    </row>
    <row r="105">
      <c r="A105" s="11" t="n"/>
      <c r="C105" s="12" t="n"/>
      <c r="F105" s="12" t="n"/>
      <c r="H105" s="12" t="n"/>
      <c r="I105" s="12" t="n"/>
      <c r="J105" s="13">
        <f>IF($A105="","",CHOOSE(WEEKDAY($A105,2),"Mon","Tue","Wed","Thu","Fri","Sat","Sun"))</f>
        <v/>
      </c>
      <c r="K105" s="14">
        <f>IF($A105="","",IF(COUNTIFS($A$3:$A$202,"&lt;"&amp;$A105)=0,"",$A105-_xlfn.MAXIFS($A$3:$A$202,$A$3:$A$202,"&lt;"&amp;$A105)))</f>
        <v/>
      </c>
      <c r="L105" s="14">
        <f>IF($A105="","",$A105*10+IF($B105="",1,$B105))</f>
        <v/>
      </c>
    </row>
    <row r="106">
      <c r="A106" s="11" t="n"/>
      <c r="C106" s="12" t="n"/>
      <c r="F106" s="12" t="n"/>
      <c r="H106" s="12" t="n"/>
      <c r="I106" s="12" t="n"/>
      <c r="J106" s="13">
        <f>IF($A106="","",CHOOSE(WEEKDAY($A106,2),"Mon","Tue","Wed","Thu","Fri","Sat","Sun"))</f>
        <v/>
      </c>
      <c r="K106" s="14">
        <f>IF($A106="","",IF(COUNTIFS($A$3:$A$202,"&lt;"&amp;$A106)=0,"",$A106-_xlfn.MAXIFS($A$3:$A$202,$A$3:$A$202,"&lt;"&amp;$A106)))</f>
        <v/>
      </c>
      <c r="L106" s="14">
        <f>IF($A106="","",$A106*10+IF($B106="",1,$B106))</f>
        <v/>
      </c>
    </row>
    <row r="107">
      <c r="A107" s="11" t="n"/>
      <c r="C107" s="12" t="n"/>
      <c r="F107" s="12" t="n"/>
      <c r="H107" s="12" t="n"/>
      <c r="I107" s="12" t="n"/>
      <c r="J107" s="13">
        <f>IF($A107="","",CHOOSE(WEEKDAY($A107,2),"Mon","Tue","Wed","Thu","Fri","Sat","Sun"))</f>
        <v/>
      </c>
      <c r="K107" s="14">
        <f>IF($A107="","",IF(COUNTIFS($A$3:$A$202,"&lt;"&amp;$A107)=0,"",$A107-_xlfn.MAXIFS($A$3:$A$202,$A$3:$A$202,"&lt;"&amp;$A107)))</f>
        <v/>
      </c>
      <c r="L107" s="14">
        <f>IF($A107="","",$A107*10+IF($B107="",1,$B107))</f>
        <v/>
      </c>
    </row>
    <row r="108">
      <c r="A108" s="11" t="n"/>
      <c r="C108" s="12" t="n"/>
      <c r="F108" s="12" t="n"/>
      <c r="H108" s="12" t="n"/>
      <c r="I108" s="12" t="n"/>
      <c r="J108" s="13">
        <f>IF($A108="","",CHOOSE(WEEKDAY($A108,2),"Mon","Tue","Wed","Thu","Fri","Sat","Sun"))</f>
        <v/>
      </c>
      <c r="K108" s="14">
        <f>IF($A108="","",IF(COUNTIFS($A$3:$A$202,"&lt;"&amp;$A108)=0,"",$A108-_xlfn.MAXIFS($A$3:$A$202,$A$3:$A$202,"&lt;"&amp;$A108)))</f>
        <v/>
      </c>
      <c r="L108" s="14">
        <f>IF($A108="","",$A108*10+IF($B108="",1,$B108))</f>
        <v/>
      </c>
    </row>
    <row r="109">
      <c r="A109" s="11" t="n"/>
      <c r="C109" s="12" t="n"/>
      <c r="F109" s="12" t="n"/>
      <c r="H109" s="12" t="n"/>
      <c r="I109" s="12" t="n"/>
      <c r="J109" s="13">
        <f>IF($A109="","",CHOOSE(WEEKDAY($A109,2),"Mon","Tue","Wed","Thu","Fri","Sat","Sun"))</f>
        <v/>
      </c>
      <c r="K109" s="14">
        <f>IF($A109="","",IF(COUNTIFS($A$3:$A$202,"&lt;"&amp;$A109)=0,"",$A109-_xlfn.MAXIFS($A$3:$A$202,$A$3:$A$202,"&lt;"&amp;$A109)))</f>
        <v/>
      </c>
      <c r="L109" s="14">
        <f>IF($A109="","",$A109*10+IF($B109="",1,$B109))</f>
        <v/>
      </c>
    </row>
    <row r="110">
      <c r="A110" s="11" t="n"/>
      <c r="C110" s="12" t="n"/>
      <c r="F110" s="12" t="n"/>
      <c r="H110" s="12" t="n"/>
      <c r="I110" s="12" t="n"/>
      <c r="J110" s="13">
        <f>IF($A110="","",CHOOSE(WEEKDAY($A110,2),"Mon","Tue","Wed","Thu","Fri","Sat","Sun"))</f>
        <v/>
      </c>
      <c r="K110" s="14">
        <f>IF($A110="","",IF(COUNTIFS($A$3:$A$202,"&lt;"&amp;$A110)=0,"",$A110-_xlfn.MAXIFS($A$3:$A$202,$A$3:$A$202,"&lt;"&amp;$A110)))</f>
        <v/>
      </c>
      <c r="L110" s="14">
        <f>IF($A110="","",$A110*10+IF($B110="",1,$B110))</f>
        <v/>
      </c>
    </row>
    <row r="111">
      <c r="A111" s="11" t="n"/>
      <c r="C111" s="12" t="n"/>
      <c r="F111" s="12" t="n"/>
      <c r="H111" s="12" t="n"/>
      <c r="I111" s="12" t="n"/>
      <c r="J111" s="13">
        <f>IF($A111="","",CHOOSE(WEEKDAY($A111,2),"Mon","Tue","Wed","Thu","Fri","Sat","Sun"))</f>
        <v/>
      </c>
      <c r="K111" s="14">
        <f>IF($A111="","",IF(COUNTIFS($A$3:$A$202,"&lt;"&amp;$A111)=0,"",$A111-_xlfn.MAXIFS($A$3:$A$202,$A$3:$A$202,"&lt;"&amp;$A111)))</f>
        <v/>
      </c>
      <c r="L111" s="14">
        <f>IF($A111="","",$A111*10+IF($B111="",1,$B111))</f>
        <v/>
      </c>
    </row>
    <row r="112">
      <c r="A112" s="11" t="n"/>
      <c r="C112" s="12" t="n"/>
      <c r="F112" s="12" t="n"/>
      <c r="H112" s="12" t="n"/>
      <c r="I112" s="12" t="n"/>
      <c r="J112" s="13">
        <f>IF($A112="","",CHOOSE(WEEKDAY($A112,2),"Mon","Tue","Wed","Thu","Fri","Sat","Sun"))</f>
        <v/>
      </c>
      <c r="K112" s="14">
        <f>IF($A112="","",IF(COUNTIFS($A$3:$A$202,"&lt;"&amp;$A112)=0,"",$A112-_xlfn.MAXIFS($A$3:$A$202,$A$3:$A$202,"&lt;"&amp;$A112)))</f>
        <v/>
      </c>
      <c r="L112" s="14">
        <f>IF($A112="","",$A112*10+IF($B112="",1,$B112))</f>
        <v/>
      </c>
    </row>
    <row r="113">
      <c r="A113" s="11" t="n"/>
      <c r="C113" s="12" t="n"/>
      <c r="F113" s="12" t="n"/>
      <c r="H113" s="12" t="n"/>
      <c r="I113" s="12" t="n"/>
      <c r="J113" s="13">
        <f>IF($A113="","",CHOOSE(WEEKDAY($A113,2),"Mon","Tue","Wed","Thu","Fri","Sat","Sun"))</f>
        <v/>
      </c>
      <c r="K113" s="14">
        <f>IF($A113="","",IF(COUNTIFS($A$3:$A$202,"&lt;"&amp;$A113)=0,"",$A113-_xlfn.MAXIFS($A$3:$A$202,$A$3:$A$202,"&lt;"&amp;$A113)))</f>
        <v/>
      </c>
      <c r="L113" s="14">
        <f>IF($A113="","",$A113*10+IF($B113="",1,$B113))</f>
        <v/>
      </c>
    </row>
    <row r="114">
      <c r="A114" s="11" t="n"/>
      <c r="C114" s="12" t="n"/>
      <c r="F114" s="12" t="n"/>
      <c r="H114" s="12" t="n"/>
      <c r="I114" s="12" t="n"/>
      <c r="J114" s="13">
        <f>IF($A114="","",CHOOSE(WEEKDAY($A114,2),"Mon","Tue","Wed","Thu","Fri","Sat","Sun"))</f>
        <v/>
      </c>
      <c r="K114" s="14">
        <f>IF($A114="","",IF(COUNTIFS($A$3:$A$202,"&lt;"&amp;$A114)=0,"",$A114-_xlfn.MAXIFS($A$3:$A$202,$A$3:$A$202,"&lt;"&amp;$A114)))</f>
        <v/>
      </c>
      <c r="L114" s="14">
        <f>IF($A114="","",$A114*10+IF($B114="",1,$B114))</f>
        <v/>
      </c>
    </row>
    <row r="115">
      <c r="A115" s="11" t="n"/>
      <c r="C115" s="12" t="n"/>
      <c r="F115" s="12" t="n"/>
      <c r="H115" s="12" t="n"/>
      <c r="I115" s="12" t="n"/>
      <c r="J115" s="13">
        <f>IF($A115="","",CHOOSE(WEEKDAY($A115,2),"Mon","Tue","Wed","Thu","Fri","Sat","Sun"))</f>
        <v/>
      </c>
      <c r="K115" s="14">
        <f>IF($A115="","",IF(COUNTIFS($A$3:$A$202,"&lt;"&amp;$A115)=0,"",$A115-_xlfn.MAXIFS($A$3:$A$202,$A$3:$A$202,"&lt;"&amp;$A115)))</f>
        <v/>
      </c>
      <c r="L115" s="14">
        <f>IF($A115="","",$A115*10+IF($B115="",1,$B115))</f>
        <v/>
      </c>
    </row>
    <row r="116">
      <c r="A116" s="11" t="n"/>
      <c r="C116" s="12" t="n"/>
      <c r="F116" s="12" t="n"/>
      <c r="H116" s="12" t="n"/>
      <c r="I116" s="12" t="n"/>
      <c r="J116" s="13">
        <f>IF($A116="","",CHOOSE(WEEKDAY($A116,2),"Mon","Tue","Wed","Thu","Fri","Sat","Sun"))</f>
        <v/>
      </c>
      <c r="K116" s="14">
        <f>IF($A116="","",IF(COUNTIFS($A$3:$A$202,"&lt;"&amp;$A116)=0,"",$A116-_xlfn.MAXIFS($A$3:$A$202,$A$3:$A$202,"&lt;"&amp;$A116)))</f>
        <v/>
      </c>
      <c r="L116" s="14">
        <f>IF($A116="","",$A116*10+IF($B116="",1,$B116))</f>
        <v/>
      </c>
    </row>
    <row r="117">
      <c r="A117" s="11" t="n"/>
      <c r="C117" s="12" t="n"/>
      <c r="F117" s="12" t="n"/>
      <c r="H117" s="12" t="n"/>
      <c r="I117" s="12" t="n"/>
      <c r="J117" s="13">
        <f>IF($A117="","",CHOOSE(WEEKDAY($A117,2),"Mon","Tue","Wed","Thu","Fri","Sat","Sun"))</f>
        <v/>
      </c>
      <c r="K117" s="14">
        <f>IF($A117="","",IF(COUNTIFS($A$3:$A$202,"&lt;"&amp;$A117)=0,"",$A117-_xlfn.MAXIFS($A$3:$A$202,$A$3:$A$202,"&lt;"&amp;$A117)))</f>
        <v/>
      </c>
      <c r="L117" s="14">
        <f>IF($A117="","",$A117*10+IF($B117="",1,$B117))</f>
        <v/>
      </c>
    </row>
    <row r="118">
      <c r="A118" s="11" t="n"/>
      <c r="C118" s="12" t="n"/>
      <c r="F118" s="12" t="n"/>
      <c r="H118" s="12" t="n"/>
      <c r="I118" s="12" t="n"/>
      <c r="J118" s="13">
        <f>IF($A118="","",CHOOSE(WEEKDAY($A118,2),"Mon","Tue","Wed","Thu","Fri","Sat","Sun"))</f>
        <v/>
      </c>
      <c r="K118" s="14">
        <f>IF($A118="","",IF(COUNTIFS($A$3:$A$202,"&lt;"&amp;$A118)=0,"",$A118-_xlfn.MAXIFS($A$3:$A$202,$A$3:$A$202,"&lt;"&amp;$A118)))</f>
        <v/>
      </c>
      <c r="L118" s="14">
        <f>IF($A118="","",$A118*10+IF($B118="",1,$B118))</f>
        <v/>
      </c>
    </row>
    <row r="119">
      <c r="A119" s="11" t="n"/>
      <c r="C119" s="12" t="n"/>
      <c r="F119" s="12" t="n"/>
      <c r="H119" s="12" t="n"/>
      <c r="I119" s="12" t="n"/>
      <c r="J119" s="13">
        <f>IF($A119="","",CHOOSE(WEEKDAY($A119,2),"Mon","Tue","Wed","Thu","Fri","Sat","Sun"))</f>
        <v/>
      </c>
      <c r="K119" s="14">
        <f>IF($A119="","",IF(COUNTIFS($A$3:$A$202,"&lt;"&amp;$A119)=0,"",$A119-_xlfn.MAXIFS($A$3:$A$202,$A$3:$A$202,"&lt;"&amp;$A119)))</f>
        <v/>
      </c>
      <c r="L119" s="14">
        <f>IF($A119="","",$A119*10+IF($B119="",1,$B119))</f>
        <v/>
      </c>
    </row>
    <row r="120">
      <c r="A120" s="11" t="n"/>
      <c r="C120" s="12" t="n"/>
      <c r="F120" s="12" t="n"/>
      <c r="H120" s="12" t="n"/>
      <c r="I120" s="12" t="n"/>
      <c r="J120" s="13">
        <f>IF($A120="","",CHOOSE(WEEKDAY($A120,2),"Mon","Tue","Wed","Thu","Fri","Sat","Sun"))</f>
        <v/>
      </c>
      <c r="K120" s="14">
        <f>IF($A120="","",IF(COUNTIFS($A$3:$A$202,"&lt;"&amp;$A120)=0,"",$A120-_xlfn.MAXIFS($A$3:$A$202,$A$3:$A$202,"&lt;"&amp;$A120)))</f>
        <v/>
      </c>
      <c r="L120" s="14">
        <f>IF($A120="","",$A120*10+IF($B120="",1,$B120))</f>
        <v/>
      </c>
    </row>
    <row r="121">
      <c r="A121" s="11" t="n"/>
      <c r="C121" s="12" t="n"/>
      <c r="F121" s="12" t="n"/>
      <c r="H121" s="12" t="n"/>
      <c r="I121" s="12" t="n"/>
      <c r="J121" s="13">
        <f>IF($A121="","",CHOOSE(WEEKDAY($A121,2),"Mon","Tue","Wed","Thu","Fri","Sat","Sun"))</f>
        <v/>
      </c>
      <c r="K121" s="14">
        <f>IF($A121="","",IF(COUNTIFS($A$3:$A$202,"&lt;"&amp;$A121)=0,"",$A121-_xlfn.MAXIFS($A$3:$A$202,$A$3:$A$202,"&lt;"&amp;$A121)))</f>
        <v/>
      </c>
      <c r="L121" s="14">
        <f>IF($A121="","",$A121*10+IF($B121="",1,$B121))</f>
        <v/>
      </c>
    </row>
    <row r="122">
      <c r="A122" s="11" t="n"/>
      <c r="C122" s="12" t="n"/>
      <c r="F122" s="12" t="n"/>
      <c r="H122" s="12" t="n"/>
      <c r="I122" s="12" t="n"/>
      <c r="J122" s="13">
        <f>IF($A122="","",CHOOSE(WEEKDAY($A122,2),"Mon","Tue","Wed","Thu","Fri","Sat","Sun"))</f>
        <v/>
      </c>
      <c r="K122" s="14">
        <f>IF($A122="","",IF(COUNTIFS($A$3:$A$202,"&lt;"&amp;$A122)=0,"",$A122-_xlfn.MAXIFS($A$3:$A$202,$A$3:$A$202,"&lt;"&amp;$A122)))</f>
        <v/>
      </c>
      <c r="L122" s="14">
        <f>IF($A122="","",$A122*10+IF($B122="",1,$B122))</f>
        <v/>
      </c>
    </row>
    <row r="123">
      <c r="A123" s="11" t="n"/>
      <c r="C123" s="12" t="n"/>
      <c r="F123" s="12" t="n"/>
      <c r="H123" s="12" t="n"/>
      <c r="I123" s="12" t="n"/>
      <c r="J123" s="13">
        <f>IF($A123="","",CHOOSE(WEEKDAY($A123,2),"Mon","Tue","Wed","Thu","Fri","Sat","Sun"))</f>
        <v/>
      </c>
      <c r="K123" s="14">
        <f>IF($A123="","",IF(COUNTIFS($A$3:$A$202,"&lt;"&amp;$A123)=0,"",$A123-_xlfn.MAXIFS($A$3:$A$202,$A$3:$A$202,"&lt;"&amp;$A123)))</f>
        <v/>
      </c>
      <c r="L123" s="14">
        <f>IF($A123="","",$A123*10+IF($B123="",1,$B123))</f>
        <v/>
      </c>
    </row>
    <row r="124">
      <c r="A124" s="11" t="n"/>
      <c r="C124" s="12" t="n"/>
      <c r="F124" s="12" t="n"/>
      <c r="H124" s="12" t="n"/>
      <c r="I124" s="12" t="n"/>
      <c r="J124" s="13">
        <f>IF($A124="","",CHOOSE(WEEKDAY($A124,2),"Mon","Tue","Wed","Thu","Fri","Sat","Sun"))</f>
        <v/>
      </c>
      <c r="K124" s="14">
        <f>IF($A124="","",IF(COUNTIFS($A$3:$A$202,"&lt;"&amp;$A124)=0,"",$A124-_xlfn.MAXIFS($A$3:$A$202,$A$3:$A$202,"&lt;"&amp;$A124)))</f>
        <v/>
      </c>
      <c r="L124" s="14">
        <f>IF($A124="","",$A124*10+IF($B124="",1,$B124))</f>
        <v/>
      </c>
    </row>
    <row r="125">
      <c r="A125" s="11" t="n"/>
      <c r="C125" s="12" t="n"/>
      <c r="F125" s="12" t="n"/>
      <c r="H125" s="12" t="n"/>
      <c r="I125" s="12" t="n"/>
      <c r="J125" s="13">
        <f>IF($A125="","",CHOOSE(WEEKDAY($A125,2),"Mon","Tue","Wed","Thu","Fri","Sat","Sun"))</f>
        <v/>
      </c>
      <c r="K125" s="14">
        <f>IF($A125="","",IF(COUNTIFS($A$3:$A$202,"&lt;"&amp;$A125)=0,"",$A125-_xlfn.MAXIFS($A$3:$A$202,$A$3:$A$202,"&lt;"&amp;$A125)))</f>
        <v/>
      </c>
      <c r="L125" s="14">
        <f>IF($A125="","",$A125*10+IF($B125="",1,$B125))</f>
        <v/>
      </c>
    </row>
    <row r="126">
      <c r="A126" s="11" t="n"/>
      <c r="C126" s="12" t="n"/>
      <c r="F126" s="12" t="n"/>
      <c r="H126" s="12" t="n"/>
      <c r="I126" s="12" t="n"/>
      <c r="J126" s="13">
        <f>IF($A126="","",CHOOSE(WEEKDAY($A126,2),"Mon","Tue","Wed","Thu","Fri","Sat","Sun"))</f>
        <v/>
      </c>
      <c r="K126" s="14">
        <f>IF($A126="","",IF(COUNTIFS($A$3:$A$202,"&lt;"&amp;$A126)=0,"",$A126-_xlfn.MAXIFS($A$3:$A$202,$A$3:$A$202,"&lt;"&amp;$A126)))</f>
        <v/>
      </c>
      <c r="L126" s="14">
        <f>IF($A126="","",$A126*10+IF($B126="",1,$B126))</f>
        <v/>
      </c>
    </row>
    <row r="127">
      <c r="A127" s="11" t="n"/>
      <c r="C127" s="12" t="n"/>
      <c r="F127" s="12" t="n"/>
      <c r="H127" s="12" t="n"/>
      <c r="I127" s="12" t="n"/>
      <c r="J127" s="13">
        <f>IF($A127="","",CHOOSE(WEEKDAY($A127,2),"Mon","Tue","Wed","Thu","Fri","Sat","Sun"))</f>
        <v/>
      </c>
      <c r="K127" s="14">
        <f>IF($A127="","",IF(COUNTIFS($A$3:$A$202,"&lt;"&amp;$A127)=0,"",$A127-_xlfn.MAXIFS($A$3:$A$202,$A$3:$A$202,"&lt;"&amp;$A127)))</f>
        <v/>
      </c>
      <c r="L127" s="14">
        <f>IF($A127="","",$A127*10+IF($B127="",1,$B127))</f>
        <v/>
      </c>
    </row>
    <row r="128">
      <c r="A128" s="11" t="n"/>
      <c r="C128" s="12" t="n"/>
      <c r="F128" s="12" t="n"/>
      <c r="H128" s="12" t="n"/>
      <c r="I128" s="12" t="n"/>
      <c r="J128" s="13">
        <f>IF($A128="","",CHOOSE(WEEKDAY($A128,2),"Mon","Tue","Wed","Thu","Fri","Sat","Sun"))</f>
        <v/>
      </c>
      <c r="K128" s="14">
        <f>IF($A128="","",IF(COUNTIFS($A$3:$A$202,"&lt;"&amp;$A128)=0,"",$A128-_xlfn.MAXIFS($A$3:$A$202,$A$3:$A$202,"&lt;"&amp;$A128)))</f>
        <v/>
      </c>
      <c r="L128" s="14">
        <f>IF($A128="","",$A128*10+IF($B128="",1,$B128))</f>
        <v/>
      </c>
    </row>
    <row r="129">
      <c r="A129" s="11" t="n"/>
      <c r="C129" s="12" t="n"/>
      <c r="F129" s="12" t="n"/>
      <c r="H129" s="12" t="n"/>
      <c r="I129" s="12" t="n"/>
      <c r="J129" s="13">
        <f>IF($A129="","",CHOOSE(WEEKDAY($A129,2),"Mon","Tue","Wed","Thu","Fri","Sat","Sun"))</f>
        <v/>
      </c>
      <c r="K129" s="14">
        <f>IF($A129="","",IF(COUNTIFS($A$3:$A$202,"&lt;"&amp;$A129)=0,"",$A129-_xlfn.MAXIFS($A$3:$A$202,$A$3:$A$202,"&lt;"&amp;$A129)))</f>
        <v/>
      </c>
      <c r="L129" s="14">
        <f>IF($A129="","",$A129*10+IF($B129="",1,$B129))</f>
        <v/>
      </c>
    </row>
    <row r="130">
      <c r="A130" s="11" t="n"/>
      <c r="C130" s="12" t="n"/>
      <c r="F130" s="12" t="n"/>
      <c r="H130" s="12" t="n"/>
      <c r="I130" s="12" t="n"/>
      <c r="J130" s="13">
        <f>IF($A130="","",CHOOSE(WEEKDAY($A130,2),"Mon","Tue","Wed","Thu","Fri","Sat","Sun"))</f>
        <v/>
      </c>
      <c r="K130" s="14">
        <f>IF($A130="","",IF(COUNTIFS($A$3:$A$202,"&lt;"&amp;$A130)=0,"",$A130-_xlfn.MAXIFS($A$3:$A$202,$A$3:$A$202,"&lt;"&amp;$A130)))</f>
        <v/>
      </c>
      <c r="L130" s="14">
        <f>IF($A130="","",$A130*10+IF($B130="",1,$B130))</f>
        <v/>
      </c>
    </row>
    <row r="131">
      <c r="A131" s="11" t="n"/>
      <c r="C131" s="12" t="n"/>
      <c r="F131" s="12" t="n"/>
      <c r="H131" s="12" t="n"/>
      <c r="I131" s="12" t="n"/>
      <c r="J131" s="13">
        <f>IF($A131="","",CHOOSE(WEEKDAY($A131,2),"Mon","Tue","Wed","Thu","Fri","Sat","Sun"))</f>
        <v/>
      </c>
      <c r="K131" s="14">
        <f>IF($A131="","",IF(COUNTIFS($A$3:$A$202,"&lt;"&amp;$A131)=0,"",$A131-_xlfn.MAXIFS($A$3:$A$202,$A$3:$A$202,"&lt;"&amp;$A131)))</f>
        <v/>
      </c>
      <c r="L131" s="14">
        <f>IF($A131="","",$A131*10+IF($B131="",1,$B131))</f>
        <v/>
      </c>
    </row>
    <row r="132">
      <c r="A132" s="11" t="n"/>
      <c r="C132" s="12" t="n"/>
      <c r="F132" s="12" t="n"/>
      <c r="H132" s="12" t="n"/>
      <c r="I132" s="12" t="n"/>
      <c r="J132" s="13">
        <f>IF($A132="","",CHOOSE(WEEKDAY($A132,2),"Mon","Tue","Wed","Thu","Fri","Sat","Sun"))</f>
        <v/>
      </c>
      <c r="K132" s="14">
        <f>IF($A132="","",IF(COUNTIFS($A$3:$A$202,"&lt;"&amp;$A132)=0,"",$A132-_xlfn.MAXIFS($A$3:$A$202,$A$3:$A$202,"&lt;"&amp;$A132)))</f>
        <v/>
      </c>
      <c r="L132" s="14">
        <f>IF($A132="","",$A132*10+IF($B132="",1,$B132))</f>
        <v/>
      </c>
    </row>
    <row r="133">
      <c r="A133" s="11" t="n"/>
      <c r="C133" s="12" t="n"/>
      <c r="F133" s="12" t="n"/>
      <c r="H133" s="12" t="n"/>
      <c r="I133" s="12" t="n"/>
      <c r="J133" s="13">
        <f>IF($A133="","",CHOOSE(WEEKDAY($A133,2),"Mon","Tue","Wed","Thu","Fri","Sat","Sun"))</f>
        <v/>
      </c>
      <c r="K133" s="14">
        <f>IF($A133="","",IF(COUNTIFS($A$3:$A$202,"&lt;"&amp;$A133)=0,"",$A133-_xlfn.MAXIFS($A$3:$A$202,$A$3:$A$202,"&lt;"&amp;$A133)))</f>
        <v/>
      </c>
      <c r="L133" s="14">
        <f>IF($A133="","",$A133*10+IF($B133="",1,$B133))</f>
        <v/>
      </c>
    </row>
    <row r="134">
      <c r="A134" s="11" t="n"/>
      <c r="C134" s="12" t="n"/>
      <c r="F134" s="12" t="n"/>
      <c r="H134" s="12" t="n"/>
      <c r="I134" s="12" t="n"/>
      <c r="J134" s="13">
        <f>IF($A134="","",CHOOSE(WEEKDAY($A134,2),"Mon","Tue","Wed","Thu","Fri","Sat","Sun"))</f>
        <v/>
      </c>
      <c r="K134" s="14">
        <f>IF($A134="","",IF(COUNTIFS($A$3:$A$202,"&lt;"&amp;$A134)=0,"",$A134-_xlfn.MAXIFS($A$3:$A$202,$A$3:$A$202,"&lt;"&amp;$A134)))</f>
        <v/>
      </c>
      <c r="L134" s="14">
        <f>IF($A134="","",$A134*10+IF($B134="",1,$B134))</f>
        <v/>
      </c>
    </row>
    <row r="135">
      <c r="A135" s="11" t="n"/>
      <c r="C135" s="12" t="n"/>
      <c r="F135" s="12" t="n"/>
      <c r="H135" s="12" t="n"/>
      <c r="I135" s="12" t="n"/>
      <c r="J135" s="13">
        <f>IF($A135="","",CHOOSE(WEEKDAY($A135,2),"Mon","Tue","Wed","Thu","Fri","Sat","Sun"))</f>
        <v/>
      </c>
      <c r="K135" s="14">
        <f>IF($A135="","",IF(COUNTIFS($A$3:$A$202,"&lt;"&amp;$A135)=0,"",$A135-_xlfn.MAXIFS($A$3:$A$202,$A$3:$A$202,"&lt;"&amp;$A135)))</f>
        <v/>
      </c>
      <c r="L135" s="14">
        <f>IF($A135="","",$A135*10+IF($B135="",1,$B135))</f>
        <v/>
      </c>
    </row>
    <row r="136">
      <c r="A136" s="11" t="n"/>
      <c r="C136" s="12" t="n"/>
      <c r="F136" s="12" t="n"/>
      <c r="H136" s="12" t="n"/>
      <c r="I136" s="12" t="n"/>
      <c r="J136" s="13">
        <f>IF($A136="","",CHOOSE(WEEKDAY($A136,2),"Mon","Tue","Wed","Thu","Fri","Sat","Sun"))</f>
        <v/>
      </c>
      <c r="K136" s="14">
        <f>IF($A136="","",IF(COUNTIFS($A$3:$A$202,"&lt;"&amp;$A136)=0,"",$A136-_xlfn.MAXIFS($A$3:$A$202,$A$3:$A$202,"&lt;"&amp;$A136)))</f>
        <v/>
      </c>
      <c r="L136" s="14">
        <f>IF($A136="","",$A136*10+IF($B136="",1,$B136))</f>
        <v/>
      </c>
    </row>
    <row r="137">
      <c r="A137" s="11" t="n"/>
      <c r="C137" s="12" t="n"/>
      <c r="F137" s="12" t="n"/>
      <c r="H137" s="12" t="n"/>
      <c r="I137" s="12" t="n"/>
      <c r="J137" s="13">
        <f>IF($A137="","",CHOOSE(WEEKDAY($A137,2),"Mon","Tue","Wed","Thu","Fri","Sat","Sun"))</f>
        <v/>
      </c>
      <c r="K137" s="14">
        <f>IF($A137="","",IF(COUNTIFS($A$3:$A$202,"&lt;"&amp;$A137)=0,"",$A137-_xlfn.MAXIFS($A$3:$A$202,$A$3:$A$202,"&lt;"&amp;$A137)))</f>
        <v/>
      </c>
      <c r="L137" s="14">
        <f>IF($A137="","",$A137*10+IF($B137="",1,$B137))</f>
        <v/>
      </c>
    </row>
    <row r="138">
      <c r="A138" s="11" t="n"/>
      <c r="C138" s="12" t="n"/>
      <c r="F138" s="12" t="n"/>
      <c r="H138" s="12" t="n"/>
      <c r="I138" s="12" t="n"/>
      <c r="J138" s="13">
        <f>IF($A138="","",CHOOSE(WEEKDAY($A138,2),"Mon","Tue","Wed","Thu","Fri","Sat","Sun"))</f>
        <v/>
      </c>
      <c r="K138" s="14">
        <f>IF($A138="","",IF(COUNTIFS($A$3:$A$202,"&lt;"&amp;$A138)=0,"",$A138-_xlfn.MAXIFS($A$3:$A$202,$A$3:$A$202,"&lt;"&amp;$A138)))</f>
        <v/>
      </c>
      <c r="L138" s="14">
        <f>IF($A138="","",$A138*10+IF($B138="",1,$B138))</f>
        <v/>
      </c>
    </row>
    <row r="139">
      <c r="A139" s="11" t="n"/>
      <c r="C139" s="12" t="n"/>
      <c r="F139" s="12" t="n"/>
      <c r="H139" s="12" t="n"/>
      <c r="I139" s="12" t="n"/>
      <c r="J139" s="13">
        <f>IF($A139="","",CHOOSE(WEEKDAY($A139,2),"Mon","Tue","Wed","Thu","Fri","Sat","Sun"))</f>
        <v/>
      </c>
      <c r="K139" s="14">
        <f>IF($A139="","",IF(COUNTIFS($A$3:$A$202,"&lt;"&amp;$A139)=0,"",$A139-_xlfn.MAXIFS($A$3:$A$202,$A$3:$A$202,"&lt;"&amp;$A139)))</f>
        <v/>
      </c>
      <c r="L139" s="14">
        <f>IF($A139="","",$A139*10+IF($B139="",1,$B139))</f>
        <v/>
      </c>
    </row>
    <row r="140">
      <c r="A140" s="11" t="n"/>
      <c r="C140" s="12" t="n"/>
      <c r="F140" s="12" t="n"/>
      <c r="H140" s="12" t="n"/>
      <c r="I140" s="12" t="n"/>
      <c r="J140" s="13">
        <f>IF($A140="","",CHOOSE(WEEKDAY($A140,2),"Mon","Tue","Wed","Thu","Fri","Sat","Sun"))</f>
        <v/>
      </c>
      <c r="K140" s="14">
        <f>IF($A140="","",IF(COUNTIFS($A$3:$A$202,"&lt;"&amp;$A140)=0,"",$A140-_xlfn.MAXIFS($A$3:$A$202,$A$3:$A$202,"&lt;"&amp;$A140)))</f>
        <v/>
      </c>
      <c r="L140" s="14">
        <f>IF($A140="","",$A140*10+IF($B140="",1,$B140))</f>
        <v/>
      </c>
    </row>
    <row r="141">
      <c r="A141" s="11" t="n"/>
      <c r="C141" s="12" t="n"/>
      <c r="F141" s="12" t="n"/>
      <c r="H141" s="12" t="n"/>
      <c r="I141" s="12" t="n"/>
      <c r="J141" s="13">
        <f>IF($A141="","",CHOOSE(WEEKDAY($A141,2),"Mon","Tue","Wed","Thu","Fri","Sat","Sun"))</f>
        <v/>
      </c>
      <c r="K141" s="14">
        <f>IF($A141="","",IF(COUNTIFS($A$3:$A$202,"&lt;"&amp;$A141)=0,"",$A141-_xlfn.MAXIFS($A$3:$A$202,$A$3:$A$202,"&lt;"&amp;$A141)))</f>
        <v/>
      </c>
      <c r="L141" s="14">
        <f>IF($A141="","",$A141*10+IF($B141="",1,$B141))</f>
        <v/>
      </c>
    </row>
    <row r="142">
      <c r="A142" s="11" t="n"/>
      <c r="C142" s="12" t="n"/>
      <c r="F142" s="12" t="n"/>
      <c r="H142" s="12" t="n"/>
      <c r="I142" s="12" t="n"/>
      <c r="J142" s="13">
        <f>IF($A142="","",CHOOSE(WEEKDAY($A142,2),"Mon","Tue","Wed","Thu","Fri","Sat","Sun"))</f>
        <v/>
      </c>
      <c r="K142" s="14">
        <f>IF($A142="","",IF(COUNTIFS($A$3:$A$202,"&lt;"&amp;$A142)=0,"",$A142-_xlfn.MAXIFS($A$3:$A$202,$A$3:$A$202,"&lt;"&amp;$A142)))</f>
        <v/>
      </c>
      <c r="L142" s="14">
        <f>IF($A142="","",$A142*10+IF($B142="",1,$B142))</f>
        <v/>
      </c>
    </row>
    <row r="143">
      <c r="A143" s="11" t="n"/>
      <c r="C143" s="12" t="n"/>
      <c r="F143" s="12" t="n"/>
      <c r="H143" s="12" t="n"/>
      <c r="I143" s="12" t="n"/>
      <c r="J143" s="13">
        <f>IF($A143="","",CHOOSE(WEEKDAY($A143,2),"Mon","Tue","Wed","Thu","Fri","Sat","Sun"))</f>
        <v/>
      </c>
      <c r="K143" s="14">
        <f>IF($A143="","",IF(COUNTIFS($A$3:$A$202,"&lt;"&amp;$A143)=0,"",$A143-_xlfn.MAXIFS($A$3:$A$202,$A$3:$A$202,"&lt;"&amp;$A143)))</f>
        <v/>
      </c>
      <c r="L143" s="14">
        <f>IF($A143="","",$A143*10+IF($B143="",1,$B143))</f>
        <v/>
      </c>
    </row>
    <row r="144">
      <c r="A144" s="11" t="n"/>
      <c r="C144" s="12" t="n"/>
      <c r="F144" s="12" t="n"/>
      <c r="H144" s="12" t="n"/>
      <c r="I144" s="12" t="n"/>
      <c r="J144" s="13">
        <f>IF($A144="","",CHOOSE(WEEKDAY($A144,2),"Mon","Tue","Wed","Thu","Fri","Sat","Sun"))</f>
        <v/>
      </c>
      <c r="K144" s="14">
        <f>IF($A144="","",IF(COUNTIFS($A$3:$A$202,"&lt;"&amp;$A144)=0,"",$A144-_xlfn.MAXIFS($A$3:$A$202,$A$3:$A$202,"&lt;"&amp;$A144)))</f>
        <v/>
      </c>
      <c r="L144" s="14">
        <f>IF($A144="","",$A144*10+IF($B144="",1,$B144))</f>
        <v/>
      </c>
    </row>
    <row r="145">
      <c r="A145" s="11" t="n"/>
      <c r="C145" s="12" t="n"/>
      <c r="F145" s="12" t="n"/>
      <c r="H145" s="12" t="n"/>
      <c r="I145" s="12" t="n"/>
      <c r="J145" s="13">
        <f>IF($A145="","",CHOOSE(WEEKDAY($A145,2),"Mon","Tue","Wed","Thu","Fri","Sat","Sun"))</f>
        <v/>
      </c>
      <c r="K145" s="14">
        <f>IF($A145="","",IF(COUNTIFS($A$3:$A$202,"&lt;"&amp;$A145)=0,"",$A145-_xlfn.MAXIFS($A$3:$A$202,$A$3:$A$202,"&lt;"&amp;$A145)))</f>
        <v/>
      </c>
      <c r="L145" s="14">
        <f>IF($A145="","",$A145*10+IF($B145="",1,$B145))</f>
        <v/>
      </c>
    </row>
    <row r="146">
      <c r="A146" s="11" t="n"/>
      <c r="C146" s="12" t="n"/>
      <c r="F146" s="12" t="n"/>
      <c r="H146" s="12" t="n"/>
      <c r="I146" s="12" t="n"/>
      <c r="J146" s="13">
        <f>IF($A146="","",CHOOSE(WEEKDAY($A146,2),"Mon","Tue","Wed","Thu","Fri","Sat","Sun"))</f>
        <v/>
      </c>
      <c r="K146" s="14">
        <f>IF($A146="","",IF(COUNTIFS($A$3:$A$202,"&lt;"&amp;$A146)=0,"",$A146-_xlfn.MAXIFS($A$3:$A$202,$A$3:$A$202,"&lt;"&amp;$A146)))</f>
        <v/>
      </c>
      <c r="L146" s="14">
        <f>IF($A146="","",$A146*10+IF($B146="",1,$B146))</f>
        <v/>
      </c>
    </row>
    <row r="147">
      <c r="A147" s="11" t="n"/>
      <c r="C147" s="12" t="n"/>
      <c r="F147" s="12" t="n"/>
      <c r="H147" s="12" t="n"/>
      <c r="I147" s="12" t="n"/>
      <c r="J147" s="13">
        <f>IF($A147="","",CHOOSE(WEEKDAY($A147,2),"Mon","Tue","Wed","Thu","Fri","Sat","Sun"))</f>
        <v/>
      </c>
      <c r="K147" s="14">
        <f>IF($A147="","",IF(COUNTIFS($A$3:$A$202,"&lt;"&amp;$A147)=0,"",$A147-_xlfn.MAXIFS($A$3:$A$202,$A$3:$A$202,"&lt;"&amp;$A147)))</f>
        <v/>
      </c>
      <c r="L147" s="14">
        <f>IF($A147="","",$A147*10+IF($B147="",1,$B147))</f>
        <v/>
      </c>
    </row>
    <row r="148">
      <c r="A148" s="11" t="n"/>
      <c r="C148" s="12" t="n"/>
      <c r="F148" s="12" t="n"/>
      <c r="H148" s="12" t="n"/>
      <c r="I148" s="12" t="n"/>
      <c r="J148" s="13">
        <f>IF($A148="","",CHOOSE(WEEKDAY($A148,2),"Mon","Tue","Wed","Thu","Fri","Sat","Sun"))</f>
        <v/>
      </c>
      <c r="K148" s="14">
        <f>IF($A148="","",IF(COUNTIFS($A$3:$A$202,"&lt;"&amp;$A148)=0,"",$A148-_xlfn.MAXIFS($A$3:$A$202,$A$3:$A$202,"&lt;"&amp;$A148)))</f>
        <v/>
      </c>
      <c r="L148" s="14">
        <f>IF($A148="","",$A148*10+IF($B148="",1,$B148))</f>
        <v/>
      </c>
    </row>
    <row r="149">
      <c r="A149" s="11" t="n"/>
      <c r="C149" s="12" t="n"/>
      <c r="F149" s="12" t="n"/>
      <c r="H149" s="12" t="n"/>
      <c r="I149" s="12" t="n"/>
      <c r="J149" s="13">
        <f>IF($A149="","",CHOOSE(WEEKDAY($A149,2),"Mon","Tue","Wed","Thu","Fri","Sat","Sun"))</f>
        <v/>
      </c>
      <c r="K149" s="14">
        <f>IF($A149="","",IF(COUNTIFS($A$3:$A$202,"&lt;"&amp;$A149)=0,"",$A149-_xlfn.MAXIFS($A$3:$A$202,$A$3:$A$202,"&lt;"&amp;$A149)))</f>
        <v/>
      </c>
      <c r="L149" s="14">
        <f>IF($A149="","",$A149*10+IF($B149="",1,$B149))</f>
        <v/>
      </c>
    </row>
    <row r="150">
      <c r="A150" s="11" t="n"/>
      <c r="C150" s="12" t="n"/>
      <c r="F150" s="12" t="n"/>
      <c r="H150" s="12" t="n"/>
      <c r="I150" s="12" t="n"/>
      <c r="J150" s="13">
        <f>IF($A150="","",CHOOSE(WEEKDAY($A150,2),"Mon","Tue","Wed","Thu","Fri","Sat","Sun"))</f>
        <v/>
      </c>
      <c r="K150" s="14">
        <f>IF($A150="","",IF(COUNTIFS($A$3:$A$202,"&lt;"&amp;$A150)=0,"",$A150-_xlfn.MAXIFS($A$3:$A$202,$A$3:$A$202,"&lt;"&amp;$A150)))</f>
        <v/>
      </c>
      <c r="L150" s="14">
        <f>IF($A150="","",$A150*10+IF($B150="",1,$B150))</f>
        <v/>
      </c>
    </row>
    <row r="151">
      <c r="A151" s="11" t="n"/>
      <c r="C151" s="12" t="n"/>
      <c r="F151" s="12" t="n"/>
      <c r="H151" s="12" t="n"/>
      <c r="I151" s="12" t="n"/>
      <c r="J151" s="13">
        <f>IF($A151="","",CHOOSE(WEEKDAY($A151,2),"Mon","Tue","Wed","Thu","Fri","Sat","Sun"))</f>
        <v/>
      </c>
      <c r="K151" s="14">
        <f>IF($A151="","",IF(COUNTIFS($A$3:$A$202,"&lt;"&amp;$A151)=0,"",$A151-_xlfn.MAXIFS($A$3:$A$202,$A$3:$A$202,"&lt;"&amp;$A151)))</f>
        <v/>
      </c>
      <c r="L151" s="14">
        <f>IF($A151="","",$A151*10+IF($B151="",1,$B151))</f>
        <v/>
      </c>
    </row>
    <row r="152">
      <c r="A152" s="11" t="n"/>
      <c r="C152" s="12" t="n"/>
      <c r="F152" s="12" t="n"/>
      <c r="H152" s="12" t="n"/>
      <c r="I152" s="12" t="n"/>
      <c r="J152" s="13">
        <f>IF($A152="","",CHOOSE(WEEKDAY($A152,2),"Mon","Tue","Wed","Thu","Fri","Sat","Sun"))</f>
        <v/>
      </c>
      <c r="K152" s="14">
        <f>IF($A152="","",IF(COUNTIFS($A$3:$A$202,"&lt;"&amp;$A152)=0,"",$A152-_xlfn.MAXIFS($A$3:$A$202,$A$3:$A$202,"&lt;"&amp;$A152)))</f>
        <v/>
      </c>
      <c r="L152" s="14">
        <f>IF($A152="","",$A152*10+IF($B152="",1,$B152))</f>
        <v/>
      </c>
    </row>
    <row r="153">
      <c r="A153" s="11" t="n"/>
      <c r="C153" s="12" t="n"/>
      <c r="F153" s="12" t="n"/>
      <c r="H153" s="12" t="n"/>
      <c r="I153" s="12" t="n"/>
      <c r="J153" s="13">
        <f>IF($A153="","",CHOOSE(WEEKDAY($A153,2),"Mon","Tue","Wed","Thu","Fri","Sat","Sun"))</f>
        <v/>
      </c>
      <c r="K153" s="14">
        <f>IF($A153="","",IF(COUNTIFS($A$3:$A$202,"&lt;"&amp;$A153)=0,"",$A153-_xlfn.MAXIFS($A$3:$A$202,$A$3:$A$202,"&lt;"&amp;$A153)))</f>
        <v/>
      </c>
      <c r="L153" s="14">
        <f>IF($A153="","",$A153*10+IF($B153="",1,$B153))</f>
        <v/>
      </c>
    </row>
    <row r="154">
      <c r="A154" s="11" t="n"/>
      <c r="C154" s="12" t="n"/>
      <c r="F154" s="12" t="n"/>
      <c r="H154" s="12" t="n"/>
      <c r="I154" s="12" t="n"/>
      <c r="J154" s="13">
        <f>IF($A154="","",CHOOSE(WEEKDAY($A154,2),"Mon","Tue","Wed","Thu","Fri","Sat","Sun"))</f>
        <v/>
      </c>
      <c r="K154" s="14">
        <f>IF($A154="","",IF(COUNTIFS($A$3:$A$202,"&lt;"&amp;$A154)=0,"",$A154-_xlfn.MAXIFS($A$3:$A$202,$A$3:$A$202,"&lt;"&amp;$A154)))</f>
        <v/>
      </c>
      <c r="L154" s="14">
        <f>IF($A154="","",$A154*10+IF($B154="",1,$B154))</f>
        <v/>
      </c>
    </row>
    <row r="155">
      <c r="A155" s="11" t="n"/>
      <c r="C155" s="12" t="n"/>
      <c r="F155" s="12" t="n"/>
      <c r="H155" s="12" t="n"/>
      <c r="I155" s="12" t="n"/>
      <c r="J155" s="13">
        <f>IF($A155="","",CHOOSE(WEEKDAY($A155,2),"Mon","Tue","Wed","Thu","Fri","Sat","Sun"))</f>
        <v/>
      </c>
      <c r="K155" s="14">
        <f>IF($A155="","",IF(COUNTIFS($A$3:$A$202,"&lt;"&amp;$A155)=0,"",$A155-_xlfn.MAXIFS($A$3:$A$202,$A$3:$A$202,"&lt;"&amp;$A155)))</f>
        <v/>
      </c>
      <c r="L155" s="14">
        <f>IF($A155="","",$A155*10+IF($B155="",1,$B155))</f>
        <v/>
      </c>
    </row>
    <row r="156">
      <c r="A156" s="11" t="n"/>
      <c r="C156" s="12" t="n"/>
      <c r="F156" s="12" t="n"/>
      <c r="H156" s="12" t="n"/>
      <c r="I156" s="12" t="n"/>
      <c r="J156" s="13">
        <f>IF($A156="","",CHOOSE(WEEKDAY($A156,2),"Mon","Tue","Wed","Thu","Fri","Sat","Sun"))</f>
        <v/>
      </c>
      <c r="K156" s="14">
        <f>IF($A156="","",IF(COUNTIFS($A$3:$A$202,"&lt;"&amp;$A156)=0,"",$A156-_xlfn.MAXIFS($A$3:$A$202,$A$3:$A$202,"&lt;"&amp;$A156)))</f>
        <v/>
      </c>
      <c r="L156" s="14">
        <f>IF($A156="","",$A156*10+IF($B156="",1,$B156))</f>
        <v/>
      </c>
    </row>
    <row r="157">
      <c r="A157" s="11" t="n"/>
      <c r="C157" s="12" t="n"/>
      <c r="F157" s="12" t="n"/>
      <c r="H157" s="12" t="n"/>
      <c r="I157" s="12" t="n"/>
      <c r="J157" s="13">
        <f>IF($A157="","",CHOOSE(WEEKDAY($A157,2),"Mon","Tue","Wed","Thu","Fri","Sat","Sun"))</f>
        <v/>
      </c>
      <c r="K157" s="14">
        <f>IF($A157="","",IF(COUNTIFS($A$3:$A$202,"&lt;"&amp;$A157)=0,"",$A157-_xlfn.MAXIFS($A$3:$A$202,$A$3:$A$202,"&lt;"&amp;$A157)))</f>
        <v/>
      </c>
      <c r="L157" s="14">
        <f>IF($A157="","",$A157*10+IF($B157="",1,$B157))</f>
        <v/>
      </c>
    </row>
    <row r="158">
      <c r="A158" s="11" t="n"/>
      <c r="C158" s="12" t="n"/>
      <c r="F158" s="12" t="n"/>
      <c r="H158" s="12" t="n"/>
      <c r="I158" s="12" t="n"/>
      <c r="J158" s="13">
        <f>IF($A158="","",CHOOSE(WEEKDAY($A158,2),"Mon","Tue","Wed","Thu","Fri","Sat","Sun"))</f>
        <v/>
      </c>
      <c r="K158" s="14">
        <f>IF($A158="","",IF(COUNTIFS($A$3:$A$202,"&lt;"&amp;$A158)=0,"",$A158-_xlfn.MAXIFS($A$3:$A$202,$A$3:$A$202,"&lt;"&amp;$A158)))</f>
        <v/>
      </c>
      <c r="L158" s="14">
        <f>IF($A158="","",$A158*10+IF($B158="",1,$B158))</f>
        <v/>
      </c>
    </row>
    <row r="159">
      <c r="A159" s="11" t="n"/>
      <c r="C159" s="12" t="n"/>
      <c r="F159" s="12" t="n"/>
      <c r="H159" s="12" t="n"/>
      <c r="I159" s="12" t="n"/>
      <c r="J159" s="13">
        <f>IF($A159="","",CHOOSE(WEEKDAY($A159,2),"Mon","Tue","Wed","Thu","Fri","Sat","Sun"))</f>
        <v/>
      </c>
      <c r="K159" s="14">
        <f>IF($A159="","",IF(COUNTIFS($A$3:$A$202,"&lt;"&amp;$A159)=0,"",$A159-_xlfn.MAXIFS($A$3:$A$202,$A$3:$A$202,"&lt;"&amp;$A159)))</f>
        <v/>
      </c>
      <c r="L159" s="14">
        <f>IF($A159="","",$A159*10+IF($B159="",1,$B159))</f>
        <v/>
      </c>
    </row>
    <row r="160">
      <c r="A160" s="11" t="n"/>
      <c r="C160" s="12" t="n"/>
      <c r="F160" s="12" t="n"/>
      <c r="H160" s="12" t="n"/>
      <c r="I160" s="12" t="n"/>
      <c r="J160" s="13">
        <f>IF($A160="","",CHOOSE(WEEKDAY($A160,2),"Mon","Tue","Wed","Thu","Fri","Sat","Sun"))</f>
        <v/>
      </c>
      <c r="K160" s="14">
        <f>IF($A160="","",IF(COUNTIFS($A$3:$A$202,"&lt;"&amp;$A160)=0,"",$A160-_xlfn.MAXIFS($A$3:$A$202,$A$3:$A$202,"&lt;"&amp;$A160)))</f>
        <v/>
      </c>
      <c r="L160" s="14">
        <f>IF($A160="","",$A160*10+IF($B160="",1,$B160))</f>
        <v/>
      </c>
    </row>
    <row r="161">
      <c r="A161" s="11" t="n"/>
      <c r="C161" s="12" t="n"/>
      <c r="F161" s="12" t="n"/>
      <c r="H161" s="12" t="n"/>
      <c r="I161" s="12" t="n"/>
      <c r="J161" s="13">
        <f>IF($A161="","",CHOOSE(WEEKDAY($A161,2),"Mon","Tue","Wed","Thu","Fri","Sat","Sun"))</f>
        <v/>
      </c>
      <c r="K161" s="14">
        <f>IF($A161="","",IF(COUNTIFS($A$3:$A$202,"&lt;"&amp;$A161)=0,"",$A161-_xlfn.MAXIFS($A$3:$A$202,$A$3:$A$202,"&lt;"&amp;$A161)))</f>
        <v/>
      </c>
      <c r="L161" s="14">
        <f>IF($A161="","",$A161*10+IF($B161="",1,$B161))</f>
        <v/>
      </c>
    </row>
    <row r="162">
      <c r="A162" s="11" t="n"/>
      <c r="C162" s="12" t="n"/>
      <c r="F162" s="12" t="n"/>
      <c r="H162" s="12" t="n"/>
      <c r="I162" s="12" t="n"/>
      <c r="J162" s="13">
        <f>IF($A162="","",CHOOSE(WEEKDAY($A162,2),"Mon","Tue","Wed","Thu","Fri","Sat","Sun"))</f>
        <v/>
      </c>
      <c r="K162" s="14">
        <f>IF($A162="","",IF(COUNTIFS($A$3:$A$202,"&lt;"&amp;$A162)=0,"",$A162-_xlfn.MAXIFS($A$3:$A$202,$A$3:$A$202,"&lt;"&amp;$A162)))</f>
        <v/>
      </c>
      <c r="L162" s="14">
        <f>IF($A162="","",$A162*10+IF($B162="",1,$B162))</f>
        <v/>
      </c>
    </row>
    <row r="163">
      <c r="A163" s="11" t="n"/>
      <c r="C163" s="12" t="n"/>
      <c r="F163" s="12" t="n"/>
      <c r="H163" s="12" t="n"/>
      <c r="I163" s="12" t="n"/>
      <c r="J163" s="13">
        <f>IF($A163="","",CHOOSE(WEEKDAY($A163,2),"Mon","Tue","Wed","Thu","Fri","Sat","Sun"))</f>
        <v/>
      </c>
      <c r="K163" s="14">
        <f>IF($A163="","",IF(COUNTIFS($A$3:$A$202,"&lt;"&amp;$A163)=0,"",$A163-_xlfn.MAXIFS($A$3:$A$202,$A$3:$A$202,"&lt;"&amp;$A163)))</f>
        <v/>
      </c>
      <c r="L163" s="14">
        <f>IF($A163="","",$A163*10+IF($B163="",1,$B163))</f>
        <v/>
      </c>
    </row>
    <row r="164">
      <c r="A164" s="11" t="n"/>
      <c r="C164" s="12" t="n"/>
      <c r="F164" s="12" t="n"/>
      <c r="H164" s="12" t="n"/>
      <c r="I164" s="12" t="n"/>
      <c r="J164" s="13">
        <f>IF($A164="","",CHOOSE(WEEKDAY($A164,2),"Mon","Tue","Wed","Thu","Fri","Sat","Sun"))</f>
        <v/>
      </c>
      <c r="K164" s="14">
        <f>IF($A164="","",IF(COUNTIFS($A$3:$A$202,"&lt;"&amp;$A164)=0,"",$A164-_xlfn.MAXIFS($A$3:$A$202,$A$3:$A$202,"&lt;"&amp;$A164)))</f>
        <v/>
      </c>
      <c r="L164" s="14">
        <f>IF($A164="","",$A164*10+IF($B164="",1,$B164))</f>
        <v/>
      </c>
    </row>
    <row r="165">
      <c r="A165" s="11" t="n"/>
      <c r="C165" s="12" t="n"/>
      <c r="F165" s="12" t="n"/>
      <c r="H165" s="12" t="n"/>
      <c r="I165" s="12" t="n"/>
      <c r="J165" s="13">
        <f>IF($A165="","",CHOOSE(WEEKDAY($A165,2),"Mon","Tue","Wed","Thu","Fri","Sat","Sun"))</f>
        <v/>
      </c>
      <c r="K165" s="14">
        <f>IF($A165="","",IF(COUNTIFS($A$3:$A$202,"&lt;"&amp;$A165)=0,"",$A165-_xlfn.MAXIFS($A$3:$A$202,$A$3:$A$202,"&lt;"&amp;$A165)))</f>
        <v/>
      </c>
      <c r="L165" s="14">
        <f>IF($A165="","",$A165*10+IF($B165="",1,$B165))</f>
        <v/>
      </c>
    </row>
    <row r="166">
      <c r="A166" s="11" t="n"/>
      <c r="C166" s="12" t="n"/>
      <c r="F166" s="12" t="n"/>
      <c r="H166" s="12" t="n"/>
      <c r="I166" s="12" t="n"/>
      <c r="J166" s="13">
        <f>IF($A166="","",CHOOSE(WEEKDAY($A166,2),"Mon","Tue","Wed","Thu","Fri","Sat","Sun"))</f>
        <v/>
      </c>
      <c r="K166" s="14">
        <f>IF($A166="","",IF(COUNTIFS($A$3:$A$202,"&lt;"&amp;$A166)=0,"",$A166-_xlfn.MAXIFS($A$3:$A$202,$A$3:$A$202,"&lt;"&amp;$A166)))</f>
        <v/>
      </c>
      <c r="L166" s="14">
        <f>IF($A166="","",$A166*10+IF($B166="",1,$B166))</f>
        <v/>
      </c>
    </row>
    <row r="167">
      <c r="A167" s="11" t="n"/>
      <c r="C167" s="12" t="n"/>
      <c r="F167" s="12" t="n"/>
      <c r="H167" s="12" t="n"/>
      <c r="I167" s="12" t="n"/>
      <c r="J167" s="13">
        <f>IF($A167="","",CHOOSE(WEEKDAY($A167,2),"Mon","Tue","Wed","Thu","Fri","Sat","Sun"))</f>
        <v/>
      </c>
      <c r="K167" s="14">
        <f>IF($A167="","",IF(COUNTIFS($A$3:$A$202,"&lt;"&amp;$A167)=0,"",$A167-_xlfn.MAXIFS($A$3:$A$202,$A$3:$A$202,"&lt;"&amp;$A167)))</f>
        <v/>
      </c>
      <c r="L167" s="14">
        <f>IF($A167="","",$A167*10+IF($B167="",1,$B167))</f>
        <v/>
      </c>
    </row>
    <row r="168">
      <c r="A168" s="11" t="n"/>
      <c r="C168" s="12" t="n"/>
      <c r="F168" s="12" t="n"/>
      <c r="H168" s="12" t="n"/>
      <c r="I168" s="12" t="n"/>
      <c r="J168" s="13">
        <f>IF($A168="","",CHOOSE(WEEKDAY($A168,2),"Mon","Tue","Wed","Thu","Fri","Sat","Sun"))</f>
        <v/>
      </c>
      <c r="K168" s="14">
        <f>IF($A168="","",IF(COUNTIFS($A$3:$A$202,"&lt;"&amp;$A168)=0,"",$A168-_xlfn.MAXIFS($A$3:$A$202,$A$3:$A$202,"&lt;"&amp;$A168)))</f>
        <v/>
      </c>
      <c r="L168" s="14">
        <f>IF($A168="","",$A168*10+IF($B168="",1,$B168))</f>
        <v/>
      </c>
    </row>
    <row r="169">
      <c r="A169" s="11" t="n"/>
      <c r="C169" s="12" t="n"/>
      <c r="F169" s="12" t="n"/>
      <c r="H169" s="12" t="n"/>
      <c r="I169" s="12" t="n"/>
      <c r="J169" s="13">
        <f>IF($A169="","",CHOOSE(WEEKDAY($A169,2),"Mon","Tue","Wed","Thu","Fri","Sat","Sun"))</f>
        <v/>
      </c>
      <c r="K169" s="14">
        <f>IF($A169="","",IF(COUNTIFS($A$3:$A$202,"&lt;"&amp;$A169)=0,"",$A169-_xlfn.MAXIFS($A$3:$A$202,$A$3:$A$202,"&lt;"&amp;$A169)))</f>
        <v/>
      </c>
      <c r="L169" s="14">
        <f>IF($A169="","",$A169*10+IF($B169="",1,$B169))</f>
        <v/>
      </c>
    </row>
    <row r="170">
      <c r="A170" s="11" t="n"/>
      <c r="C170" s="12" t="n"/>
      <c r="F170" s="12" t="n"/>
      <c r="H170" s="12" t="n"/>
      <c r="I170" s="12" t="n"/>
      <c r="J170" s="13">
        <f>IF($A170="","",CHOOSE(WEEKDAY($A170,2),"Mon","Tue","Wed","Thu","Fri","Sat","Sun"))</f>
        <v/>
      </c>
      <c r="K170" s="14">
        <f>IF($A170="","",IF(COUNTIFS($A$3:$A$202,"&lt;"&amp;$A170)=0,"",$A170-_xlfn.MAXIFS($A$3:$A$202,$A$3:$A$202,"&lt;"&amp;$A170)))</f>
        <v/>
      </c>
      <c r="L170" s="14">
        <f>IF($A170="","",$A170*10+IF($B170="",1,$B170))</f>
        <v/>
      </c>
    </row>
    <row r="171">
      <c r="A171" s="11" t="n"/>
      <c r="C171" s="12" t="n"/>
      <c r="F171" s="12" t="n"/>
      <c r="H171" s="12" t="n"/>
      <c r="I171" s="12" t="n"/>
      <c r="J171" s="13">
        <f>IF($A171="","",CHOOSE(WEEKDAY($A171,2),"Mon","Tue","Wed","Thu","Fri","Sat","Sun"))</f>
        <v/>
      </c>
      <c r="K171" s="14">
        <f>IF($A171="","",IF(COUNTIFS($A$3:$A$202,"&lt;"&amp;$A171)=0,"",$A171-_xlfn.MAXIFS($A$3:$A$202,$A$3:$A$202,"&lt;"&amp;$A171)))</f>
        <v/>
      </c>
      <c r="L171" s="14">
        <f>IF($A171="","",$A171*10+IF($B171="",1,$B171))</f>
        <v/>
      </c>
    </row>
    <row r="172">
      <c r="A172" s="11" t="n"/>
      <c r="C172" s="12" t="n"/>
      <c r="F172" s="12" t="n"/>
      <c r="H172" s="12" t="n"/>
      <c r="I172" s="12" t="n"/>
      <c r="J172" s="13">
        <f>IF($A172="","",CHOOSE(WEEKDAY($A172,2),"Mon","Tue","Wed","Thu","Fri","Sat","Sun"))</f>
        <v/>
      </c>
      <c r="K172" s="14">
        <f>IF($A172="","",IF(COUNTIFS($A$3:$A$202,"&lt;"&amp;$A172)=0,"",$A172-_xlfn.MAXIFS($A$3:$A$202,$A$3:$A$202,"&lt;"&amp;$A172)))</f>
        <v/>
      </c>
      <c r="L172" s="14">
        <f>IF($A172="","",$A172*10+IF($B172="",1,$B172))</f>
        <v/>
      </c>
    </row>
    <row r="173">
      <c r="A173" s="11" t="n"/>
      <c r="C173" s="12" t="n"/>
      <c r="F173" s="12" t="n"/>
      <c r="H173" s="12" t="n"/>
      <c r="I173" s="12" t="n"/>
      <c r="J173" s="13">
        <f>IF($A173="","",CHOOSE(WEEKDAY($A173,2),"Mon","Tue","Wed","Thu","Fri","Sat","Sun"))</f>
        <v/>
      </c>
      <c r="K173" s="14">
        <f>IF($A173="","",IF(COUNTIFS($A$3:$A$202,"&lt;"&amp;$A173)=0,"",$A173-_xlfn.MAXIFS($A$3:$A$202,$A$3:$A$202,"&lt;"&amp;$A173)))</f>
        <v/>
      </c>
      <c r="L173" s="14">
        <f>IF($A173="","",$A173*10+IF($B173="",1,$B173))</f>
        <v/>
      </c>
    </row>
    <row r="174">
      <c r="A174" s="11" t="n"/>
      <c r="C174" s="12" t="n"/>
      <c r="F174" s="12" t="n"/>
      <c r="H174" s="12" t="n"/>
      <c r="I174" s="12" t="n"/>
      <c r="J174" s="13">
        <f>IF($A174="","",CHOOSE(WEEKDAY($A174,2),"Mon","Tue","Wed","Thu","Fri","Sat","Sun"))</f>
        <v/>
      </c>
      <c r="K174" s="14">
        <f>IF($A174="","",IF(COUNTIFS($A$3:$A$202,"&lt;"&amp;$A174)=0,"",$A174-_xlfn.MAXIFS($A$3:$A$202,$A$3:$A$202,"&lt;"&amp;$A174)))</f>
        <v/>
      </c>
      <c r="L174" s="14">
        <f>IF($A174="","",$A174*10+IF($B174="",1,$B174))</f>
        <v/>
      </c>
    </row>
    <row r="175">
      <c r="A175" s="11" t="n"/>
      <c r="C175" s="12" t="n"/>
      <c r="F175" s="12" t="n"/>
      <c r="H175" s="12" t="n"/>
      <c r="I175" s="12" t="n"/>
      <c r="J175" s="13">
        <f>IF($A175="","",CHOOSE(WEEKDAY($A175,2),"Mon","Tue","Wed","Thu","Fri","Sat","Sun"))</f>
        <v/>
      </c>
      <c r="K175" s="14">
        <f>IF($A175="","",IF(COUNTIFS($A$3:$A$202,"&lt;"&amp;$A175)=0,"",$A175-_xlfn.MAXIFS($A$3:$A$202,$A$3:$A$202,"&lt;"&amp;$A175)))</f>
        <v/>
      </c>
      <c r="L175" s="14">
        <f>IF($A175="","",$A175*10+IF($B175="",1,$B175))</f>
        <v/>
      </c>
    </row>
    <row r="176">
      <c r="A176" s="11" t="n"/>
      <c r="C176" s="12" t="n"/>
      <c r="F176" s="12" t="n"/>
      <c r="H176" s="12" t="n"/>
      <c r="I176" s="12" t="n"/>
      <c r="J176" s="13">
        <f>IF($A176="","",CHOOSE(WEEKDAY($A176,2),"Mon","Tue","Wed","Thu","Fri","Sat","Sun"))</f>
        <v/>
      </c>
      <c r="K176" s="14">
        <f>IF($A176="","",IF(COUNTIFS($A$3:$A$202,"&lt;"&amp;$A176)=0,"",$A176-_xlfn.MAXIFS($A$3:$A$202,$A$3:$A$202,"&lt;"&amp;$A176)))</f>
        <v/>
      </c>
      <c r="L176" s="14">
        <f>IF($A176="","",$A176*10+IF($B176="",1,$B176))</f>
        <v/>
      </c>
    </row>
    <row r="177">
      <c r="A177" s="11" t="n"/>
      <c r="C177" s="12" t="n"/>
      <c r="F177" s="12" t="n"/>
      <c r="H177" s="12" t="n"/>
      <c r="I177" s="12" t="n"/>
      <c r="J177" s="13">
        <f>IF($A177="","",CHOOSE(WEEKDAY($A177,2),"Mon","Tue","Wed","Thu","Fri","Sat","Sun"))</f>
        <v/>
      </c>
      <c r="K177" s="14">
        <f>IF($A177="","",IF(COUNTIFS($A$3:$A$202,"&lt;"&amp;$A177)=0,"",$A177-_xlfn.MAXIFS($A$3:$A$202,$A$3:$A$202,"&lt;"&amp;$A177)))</f>
        <v/>
      </c>
      <c r="L177" s="14">
        <f>IF($A177="","",$A177*10+IF($B177="",1,$B177))</f>
        <v/>
      </c>
    </row>
    <row r="178">
      <c r="A178" s="11" t="n"/>
      <c r="C178" s="12" t="n"/>
      <c r="F178" s="12" t="n"/>
      <c r="H178" s="12" t="n"/>
      <c r="I178" s="12" t="n"/>
      <c r="J178" s="13">
        <f>IF($A178="","",CHOOSE(WEEKDAY($A178,2),"Mon","Tue","Wed","Thu","Fri","Sat","Sun"))</f>
        <v/>
      </c>
      <c r="K178" s="14">
        <f>IF($A178="","",IF(COUNTIFS($A$3:$A$202,"&lt;"&amp;$A178)=0,"",$A178-_xlfn.MAXIFS($A$3:$A$202,$A$3:$A$202,"&lt;"&amp;$A178)))</f>
        <v/>
      </c>
      <c r="L178" s="14">
        <f>IF($A178="","",$A178*10+IF($B178="",1,$B178))</f>
        <v/>
      </c>
    </row>
    <row r="179">
      <c r="A179" s="11" t="n"/>
      <c r="C179" s="12" t="n"/>
      <c r="F179" s="12" t="n"/>
      <c r="H179" s="12" t="n"/>
      <c r="I179" s="12" t="n"/>
      <c r="J179" s="13">
        <f>IF($A179="","",CHOOSE(WEEKDAY($A179,2),"Mon","Tue","Wed","Thu","Fri","Sat","Sun"))</f>
        <v/>
      </c>
      <c r="K179" s="14">
        <f>IF($A179="","",IF(COUNTIFS($A$3:$A$202,"&lt;"&amp;$A179)=0,"",$A179-_xlfn.MAXIFS($A$3:$A$202,$A$3:$A$202,"&lt;"&amp;$A179)))</f>
        <v/>
      </c>
      <c r="L179" s="14">
        <f>IF($A179="","",$A179*10+IF($B179="",1,$B179))</f>
        <v/>
      </c>
    </row>
    <row r="180">
      <c r="A180" s="11" t="n"/>
      <c r="C180" s="12" t="n"/>
      <c r="F180" s="12" t="n"/>
      <c r="H180" s="12" t="n"/>
      <c r="I180" s="12" t="n"/>
      <c r="J180" s="13">
        <f>IF($A180="","",CHOOSE(WEEKDAY($A180,2),"Mon","Tue","Wed","Thu","Fri","Sat","Sun"))</f>
        <v/>
      </c>
      <c r="K180" s="14">
        <f>IF($A180="","",IF(COUNTIFS($A$3:$A$202,"&lt;"&amp;$A180)=0,"",$A180-_xlfn.MAXIFS($A$3:$A$202,$A$3:$A$202,"&lt;"&amp;$A180)))</f>
        <v/>
      </c>
      <c r="L180" s="14">
        <f>IF($A180="","",$A180*10+IF($B180="",1,$B180))</f>
        <v/>
      </c>
    </row>
    <row r="181">
      <c r="A181" s="11" t="n"/>
      <c r="C181" s="12" t="n"/>
      <c r="F181" s="12" t="n"/>
      <c r="H181" s="12" t="n"/>
      <c r="I181" s="12" t="n"/>
      <c r="J181" s="13">
        <f>IF($A181="","",CHOOSE(WEEKDAY($A181,2),"Mon","Tue","Wed","Thu","Fri","Sat","Sun"))</f>
        <v/>
      </c>
      <c r="K181" s="14">
        <f>IF($A181="","",IF(COUNTIFS($A$3:$A$202,"&lt;"&amp;$A181)=0,"",$A181-_xlfn.MAXIFS($A$3:$A$202,$A$3:$A$202,"&lt;"&amp;$A181)))</f>
        <v/>
      </c>
      <c r="L181" s="14">
        <f>IF($A181="","",$A181*10+IF($B181="",1,$B181))</f>
        <v/>
      </c>
    </row>
    <row r="182">
      <c r="A182" s="11" t="n"/>
      <c r="C182" s="12" t="n"/>
      <c r="F182" s="12" t="n"/>
      <c r="H182" s="12" t="n"/>
      <c r="I182" s="12" t="n"/>
      <c r="J182" s="13">
        <f>IF($A182="","",CHOOSE(WEEKDAY($A182,2),"Mon","Tue","Wed","Thu","Fri","Sat","Sun"))</f>
        <v/>
      </c>
      <c r="K182" s="14">
        <f>IF($A182="","",IF(COUNTIFS($A$3:$A$202,"&lt;"&amp;$A182)=0,"",$A182-_xlfn.MAXIFS($A$3:$A$202,$A$3:$A$202,"&lt;"&amp;$A182)))</f>
        <v/>
      </c>
      <c r="L182" s="14">
        <f>IF($A182="","",$A182*10+IF($B182="",1,$B182))</f>
        <v/>
      </c>
    </row>
    <row r="183">
      <c r="A183" s="11" t="n"/>
      <c r="C183" s="12" t="n"/>
      <c r="F183" s="12" t="n"/>
      <c r="H183" s="12" t="n"/>
      <c r="I183" s="12" t="n"/>
      <c r="J183" s="13">
        <f>IF($A183="","",CHOOSE(WEEKDAY($A183,2),"Mon","Tue","Wed","Thu","Fri","Sat","Sun"))</f>
        <v/>
      </c>
      <c r="K183" s="14">
        <f>IF($A183="","",IF(COUNTIFS($A$3:$A$202,"&lt;"&amp;$A183)=0,"",$A183-_xlfn.MAXIFS($A$3:$A$202,$A$3:$A$202,"&lt;"&amp;$A183)))</f>
        <v/>
      </c>
      <c r="L183" s="14">
        <f>IF($A183="","",$A183*10+IF($B183="",1,$B183))</f>
        <v/>
      </c>
    </row>
    <row r="184">
      <c r="A184" s="11" t="n"/>
      <c r="C184" s="12" t="n"/>
      <c r="F184" s="12" t="n"/>
      <c r="H184" s="12" t="n"/>
      <c r="I184" s="12" t="n"/>
      <c r="J184" s="13">
        <f>IF($A184="","",CHOOSE(WEEKDAY($A184,2),"Mon","Tue","Wed","Thu","Fri","Sat","Sun"))</f>
        <v/>
      </c>
      <c r="K184" s="14">
        <f>IF($A184="","",IF(COUNTIFS($A$3:$A$202,"&lt;"&amp;$A184)=0,"",$A184-_xlfn.MAXIFS($A$3:$A$202,$A$3:$A$202,"&lt;"&amp;$A184)))</f>
        <v/>
      </c>
      <c r="L184" s="14">
        <f>IF($A184="","",$A184*10+IF($B184="",1,$B184))</f>
        <v/>
      </c>
    </row>
    <row r="185">
      <c r="A185" s="11" t="n"/>
      <c r="C185" s="12" t="n"/>
      <c r="F185" s="12" t="n"/>
      <c r="H185" s="12" t="n"/>
      <c r="I185" s="12" t="n"/>
      <c r="J185" s="13">
        <f>IF($A185="","",CHOOSE(WEEKDAY($A185,2),"Mon","Tue","Wed","Thu","Fri","Sat","Sun"))</f>
        <v/>
      </c>
      <c r="K185" s="14">
        <f>IF($A185="","",IF(COUNTIFS($A$3:$A$202,"&lt;"&amp;$A185)=0,"",$A185-_xlfn.MAXIFS($A$3:$A$202,$A$3:$A$202,"&lt;"&amp;$A185)))</f>
        <v/>
      </c>
      <c r="L185" s="14">
        <f>IF($A185="","",$A185*10+IF($B185="",1,$B185))</f>
        <v/>
      </c>
    </row>
    <row r="186">
      <c r="A186" s="11" t="n"/>
      <c r="C186" s="12" t="n"/>
      <c r="F186" s="12" t="n"/>
      <c r="H186" s="12" t="n"/>
      <c r="I186" s="12" t="n"/>
      <c r="J186" s="13">
        <f>IF($A186="","",CHOOSE(WEEKDAY($A186,2),"Mon","Tue","Wed","Thu","Fri","Sat","Sun"))</f>
        <v/>
      </c>
      <c r="K186" s="14">
        <f>IF($A186="","",IF(COUNTIFS($A$3:$A$202,"&lt;"&amp;$A186)=0,"",$A186-_xlfn.MAXIFS($A$3:$A$202,$A$3:$A$202,"&lt;"&amp;$A186)))</f>
        <v/>
      </c>
      <c r="L186" s="14">
        <f>IF($A186="","",$A186*10+IF($B186="",1,$B186))</f>
        <v/>
      </c>
    </row>
    <row r="187">
      <c r="A187" s="11" t="n"/>
      <c r="C187" s="12" t="n"/>
      <c r="F187" s="12" t="n"/>
      <c r="H187" s="12" t="n"/>
      <c r="I187" s="12" t="n"/>
      <c r="J187" s="13">
        <f>IF($A187="","",CHOOSE(WEEKDAY($A187,2),"Mon","Tue","Wed","Thu","Fri","Sat","Sun"))</f>
        <v/>
      </c>
      <c r="K187" s="14">
        <f>IF($A187="","",IF(COUNTIFS($A$3:$A$202,"&lt;"&amp;$A187)=0,"",$A187-_xlfn.MAXIFS($A$3:$A$202,$A$3:$A$202,"&lt;"&amp;$A187)))</f>
        <v/>
      </c>
      <c r="L187" s="14">
        <f>IF($A187="","",$A187*10+IF($B187="",1,$B187))</f>
        <v/>
      </c>
    </row>
    <row r="188">
      <c r="A188" s="11" t="n"/>
      <c r="C188" s="12" t="n"/>
      <c r="F188" s="12" t="n"/>
      <c r="H188" s="12" t="n"/>
      <c r="I188" s="12" t="n"/>
      <c r="J188" s="13">
        <f>IF($A188="","",CHOOSE(WEEKDAY($A188,2),"Mon","Tue","Wed","Thu","Fri","Sat","Sun"))</f>
        <v/>
      </c>
      <c r="K188" s="14">
        <f>IF($A188="","",IF(COUNTIFS($A$3:$A$202,"&lt;"&amp;$A188)=0,"",$A188-_xlfn.MAXIFS($A$3:$A$202,$A$3:$A$202,"&lt;"&amp;$A188)))</f>
        <v/>
      </c>
      <c r="L188" s="14">
        <f>IF($A188="","",$A188*10+IF($B188="",1,$B188))</f>
        <v/>
      </c>
    </row>
    <row r="189">
      <c r="A189" s="11" t="n"/>
      <c r="C189" s="12" t="n"/>
      <c r="F189" s="12" t="n"/>
      <c r="H189" s="12" t="n"/>
      <c r="I189" s="12" t="n"/>
      <c r="J189" s="13">
        <f>IF($A189="","",CHOOSE(WEEKDAY($A189,2),"Mon","Tue","Wed","Thu","Fri","Sat","Sun"))</f>
        <v/>
      </c>
      <c r="K189" s="14">
        <f>IF($A189="","",IF(COUNTIFS($A$3:$A$202,"&lt;"&amp;$A189)=0,"",$A189-_xlfn.MAXIFS($A$3:$A$202,$A$3:$A$202,"&lt;"&amp;$A189)))</f>
        <v/>
      </c>
      <c r="L189" s="14">
        <f>IF($A189="","",$A189*10+IF($B189="",1,$B189))</f>
        <v/>
      </c>
    </row>
    <row r="190">
      <c r="A190" s="11" t="n"/>
      <c r="C190" s="12" t="n"/>
      <c r="F190" s="12" t="n"/>
      <c r="H190" s="12" t="n"/>
      <c r="I190" s="12" t="n"/>
      <c r="J190" s="13">
        <f>IF($A190="","",CHOOSE(WEEKDAY($A190,2),"Mon","Tue","Wed","Thu","Fri","Sat","Sun"))</f>
        <v/>
      </c>
      <c r="K190" s="14">
        <f>IF($A190="","",IF(COUNTIFS($A$3:$A$202,"&lt;"&amp;$A190)=0,"",$A190-_xlfn.MAXIFS($A$3:$A$202,$A$3:$A$202,"&lt;"&amp;$A190)))</f>
        <v/>
      </c>
      <c r="L190" s="14">
        <f>IF($A190="","",$A190*10+IF($B190="",1,$B190))</f>
        <v/>
      </c>
    </row>
    <row r="191">
      <c r="A191" s="11" t="n"/>
      <c r="C191" s="12" t="n"/>
      <c r="F191" s="12" t="n"/>
      <c r="H191" s="12" t="n"/>
      <c r="I191" s="12" t="n"/>
      <c r="J191" s="13">
        <f>IF($A191="","",CHOOSE(WEEKDAY($A191,2),"Mon","Tue","Wed","Thu","Fri","Sat","Sun"))</f>
        <v/>
      </c>
      <c r="K191" s="14">
        <f>IF($A191="","",IF(COUNTIFS($A$3:$A$202,"&lt;"&amp;$A191)=0,"",$A191-_xlfn.MAXIFS($A$3:$A$202,$A$3:$A$202,"&lt;"&amp;$A191)))</f>
        <v/>
      </c>
      <c r="L191" s="14">
        <f>IF($A191="","",$A191*10+IF($B191="",1,$B191))</f>
        <v/>
      </c>
    </row>
    <row r="192">
      <c r="A192" s="11" t="n"/>
      <c r="C192" s="12" t="n"/>
      <c r="F192" s="12" t="n"/>
      <c r="H192" s="12" t="n"/>
      <c r="I192" s="12" t="n"/>
      <c r="J192" s="13">
        <f>IF($A192="","",CHOOSE(WEEKDAY($A192,2),"Mon","Tue","Wed","Thu","Fri","Sat","Sun"))</f>
        <v/>
      </c>
      <c r="K192" s="14">
        <f>IF($A192="","",IF(COUNTIFS($A$3:$A$202,"&lt;"&amp;$A192)=0,"",$A192-_xlfn.MAXIFS($A$3:$A$202,$A$3:$A$202,"&lt;"&amp;$A192)))</f>
        <v/>
      </c>
      <c r="L192" s="14">
        <f>IF($A192="","",$A192*10+IF($B192="",1,$B192))</f>
        <v/>
      </c>
    </row>
    <row r="193">
      <c r="A193" s="11" t="n"/>
      <c r="C193" s="12" t="n"/>
      <c r="F193" s="12" t="n"/>
      <c r="H193" s="12" t="n"/>
      <c r="I193" s="12" t="n"/>
      <c r="J193" s="13">
        <f>IF($A193="","",CHOOSE(WEEKDAY($A193,2),"Mon","Tue","Wed","Thu","Fri","Sat","Sun"))</f>
        <v/>
      </c>
      <c r="K193" s="14">
        <f>IF($A193="","",IF(COUNTIFS($A$3:$A$202,"&lt;"&amp;$A193)=0,"",$A193-_xlfn.MAXIFS($A$3:$A$202,$A$3:$A$202,"&lt;"&amp;$A193)))</f>
        <v/>
      </c>
      <c r="L193" s="14">
        <f>IF($A193="","",$A193*10+IF($B193="",1,$B193))</f>
        <v/>
      </c>
    </row>
    <row r="194">
      <c r="A194" s="11" t="n"/>
      <c r="C194" s="12" t="n"/>
      <c r="F194" s="12" t="n"/>
      <c r="H194" s="12" t="n"/>
      <c r="I194" s="12" t="n"/>
      <c r="J194" s="13">
        <f>IF($A194="","",CHOOSE(WEEKDAY($A194,2),"Mon","Tue","Wed","Thu","Fri","Sat","Sun"))</f>
        <v/>
      </c>
      <c r="K194" s="14">
        <f>IF($A194="","",IF(COUNTIFS($A$3:$A$202,"&lt;"&amp;$A194)=0,"",$A194-_xlfn.MAXIFS($A$3:$A$202,$A$3:$A$202,"&lt;"&amp;$A194)))</f>
        <v/>
      </c>
      <c r="L194" s="14">
        <f>IF($A194="","",$A194*10+IF($B194="",1,$B194))</f>
        <v/>
      </c>
    </row>
    <row r="195">
      <c r="A195" s="11" t="n"/>
      <c r="C195" s="12" t="n"/>
      <c r="F195" s="12" t="n"/>
      <c r="H195" s="12" t="n"/>
      <c r="I195" s="12" t="n"/>
      <c r="J195" s="13">
        <f>IF($A195="","",CHOOSE(WEEKDAY($A195,2),"Mon","Tue","Wed","Thu","Fri","Sat","Sun"))</f>
        <v/>
      </c>
      <c r="K195" s="14">
        <f>IF($A195="","",IF(COUNTIFS($A$3:$A$202,"&lt;"&amp;$A195)=0,"",$A195-_xlfn.MAXIFS($A$3:$A$202,$A$3:$A$202,"&lt;"&amp;$A195)))</f>
        <v/>
      </c>
      <c r="L195" s="14">
        <f>IF($A195="","",$A195*10+IF($B195="",1,$B195))</f>
        <v/>
      </c>
    </row>
    <row r="196">
      <c r="A196" s="11" t="n"/>
      <c r="C196" s="12" t="n"/>
      <c r="F196" s="12" t="n"/>
      <c r="H196" s="12" t="n"/>
      <c r="I196" s="12" t="n"/>
      <c r="J196" s="13">
        <f>IF($A196="","",CHOOSE(WEEKDAY($A196,2),"Mon","Tue","Wed","Thu","Fri","Sat","Sun"))</f>
        <v/>
      </c>
      <c r="K196" s="14">
        <f>IF($A196="","",IF(COUNTIFS($A$3:$A$202,"&lt;"&amp;$A196)=0,"",$A196-_xlfn.MAXIFS($A$3:$A$202,$A$3:$A$202,"&lt;"&amp;$A196)))</f>
        <v/>
      </c>
      <c r="L196" s="14">
        <f>IF($A196="","",$A196*10+IF($B196="",1,$B196))</f>
        <v/>
      </c>
    </row>
    <row r="197">
      <c r="A197" s="11" t="n"/>
      <c r="C197" s="12" t="n"/>
      <c r="F197" s="12" t="n"/>
      <c r="H197" s="12" t="n"/>
      <c r="I197" s="12" t="n"/>
      <c r="J197" s="13">
        <f>IF($A197="","",CHOOSE(WEEKDAY($A197,2),"Mon","Tue","Wed","Thu","Fri","Sat","Sun"))</f>
        <v/>
      </c>
      <c r="K197" s="14">
        <f>IF($A197="","",IF(COUNTIFS($A$3:$A$202,"&lt;"&amp;$A197)=0,"",$A197-_xlfn.MAXIFS($A$3:$A$202,$A$3:$A$202,"&lt;"&amp;$A197)))</f>
        <v/>
      </c>
      <c r="L197" s="14">
        <f>IF($A197="","",$A197*10+IF($B197="",1,$B197))</f>
        <v/>
      </c>
    </row>
    <row r="198">
      <c r="A198" s="11" t="n"/>
      <c r="C198" s="12" t="n"/>
      <c r="F198" s="12" t="n"/>
      <c r="H198" s="12" t="n"/>
      <c r="I198" s="12" t="n"/>
      <c r="J198" s="13">
        <f>IF($A198="","",CHOOSE(WEEKDAY($A198,2),"Mon","Tue","Wed","Thu","Fri","Sat","Sun"))</f>
        <v/>
      </c>
      <c r="K198" s="14">
        <f>IF($A198="","",IF(COUNTIFS($A$3:$A$202,"&lt;"&amp;$A198)=0,"",$A198-_xlfn.MAXIFS($A$3:$A$202,$A$3:$A$202,"&lt;"&amp;$A198)))</f>
        <v/>
      </c>
      <c r="L198" s="14">
        <f>IF($A198="","",$A198*10+IF($B198="",1,$B198))</f>
        <v/>
      </c>
    </row>
    <row r="199">
      <c r="A199" s="11" t="n"/>
      <c r="C199" s="12" t="n"/>
      <c r="F199" s="12" t="n"/>
      <c r="H199" s="12" t="n"/>
      <c r="I199" s="12" t="n"/>
      <c r="J199" s="13">
        <f>IF($A199="","",CHOOSE(WEEKDAY($A199,2),"Mon","Tue","Wed","Thu","Fri","Sat","Sun"))</f>
        <v/>
      </c>
      <c r="K199" s="14">
        <f>IF($A199="","",IF(COUNTIFS($A$3:$A$202,"&lt;"&amp;$A199)=0,"",$A199-_xlfn.MAXIFS($A$3:$A$202,$A$3:$A$202,"&lt;"&amp;$A199)))</f>
        <v/>
      </c>
      <c r="L199" s="14">
        <f>IF($A199="","",$A199*10+IF($B199="",1,$B199))</f>
        <v/>
      </c>
    </row>
    <row r="200">
      <c r="A200" s="11" t="n"/>
      <c r="C200" s="12" t="n"/>
      <c r="F200" s="12" t="n"/>
      <c r="H200" s="12" t="n"/>
      <c r="I200" s="12" t="n"/>
      <c r="J200" s="13">
        <f>IF($A200="","",CHOOSE(WEEKDAY($A200,2),"Mon","Tue","Wed","Thu","Fri","Sat","Sun"))</f>
        <v/>
      </c>
      <c r="K200" s="14">
        <f>IF($A200="","",IF(COUNTIFS($A$3:$A$202,"&lt;"&amp;$A200)=0,"",$A200-_xlfn.MAXIFS($A$3:$A$202,$A$3:$A$202,"&lt;"&amp;$A200)))</f>
        <v/>
      </c>
      <c r="L200" s="14">
        <f>IF($A200="","",$A200*10+IF($B200="",1,$B200))</f>
        <v/>
      </c>
    </row>
    <row r="201">
      <c r="A201" s="11" t="n"/>
      <c r="C201" s="12" t="n"/>
      <c r="F201" s="12" t="n"/>
      <c r="H201" s="12" t="n"/>
      <c r="I201" s="12" t="n"/>
      <c r="J201" s="13">
        <f>IF($A201="","",CHOOSE(WEEKDAY($A201,2),"Mon","Tue","Wed","Thu","Fri","Sat","Sun"))</f>
        <v/>
      </c>
      <c r="K201" s="14">
        <f>IF($A201="","",IF(COUNTIFS($A$3:$A$202,"&lt;"&amp;$A201)=0,"",$A201-_xlfn.MAXIFS($A$3:$A$202,$A$3:$A$202,"&lt;"&amp;$A201)))</f>
        <v/>
      </c>
      <c r="L201" s="14">
        <f>IF($A201="","",$A201*10+IF($B201="",1,$B201))</f>
        <v/>
      </c>
    </row>
    <row r="202">
      <c r="A202" s="11" t="n"/>
      <c r="C202" s="12" t="n"/>
      <c r="F202" s="12" t="n"/>
      <c r="H202" s="12" t="n"/>
      <c r="I202" s="12" t="n"/>
      <c r="J202" s="13">
        <f>IF($A202="","",CHOOSE(WEEKDAY($A202,2),"Mon","Tue","Wed","Thu","Fri","Sat","Sun"))</f>
        <v/>
      </c>
      <c r="K202" s="14">
        <f>IF($A202="","",IF(COUNTIFS($A$3:$A$202,"&lt;"&amp;$A202)=0,"",$A202-_xlfn.MAXIFS($A$3:$A$202,$A$3:$A$202,"&lt;"&amp;$A202)))</f>
        <v/>
      </c>
      <c r="L202" s="14">
        <f>IF($A202="","",$A202*10+IF($B202="",1,$B202))</f>
        <v/>
      </c>
    </row>
  </sheetData>
  <conditionalFormatting sqref="J3:J202">
    <cfRule type="cellIs" priority="1" operator="equal" dxfId="0">
      <formula>"LOW"</formula>
    </cfRule>
    <cfRule type="cellIs" priority="2" operator="equal" dxfId="1">
      <formula>"WATCH"</formula>
    </cfRule>
    <cfRule type="cellIs" priority="3" operator="equal" dxfId="2">
      <formula>"GOOD"</formula>
    </cfRule>
  </conditionalFormatting>
  <conditionalFormatting sqref="K3:K202">
    <cfRule type="cellIs" priority="4" operator="equal" dxfId="0">
      <formula>"LOW"</formula>
    </cfRule>
    <cfRule type="cellIs" priority="5" operator="equal" dxfId="1">
      <formula>"WATCH"</formula>
    </cfRule>
    <cfRule type="cellIs" priority="6" operator="equal" dxfId="2">
      <formula>"GOOD"</formula>
    </cfRule>
  </conditionalFormatting>
  <conditionalFormatting sqref="L3:L202">
    <cfRule type="cellIs" priority="7" operator="equal" dxfId="0">
      <formula>"LOW"</formula>
    </cfRule>
    <cfRule type="cellIs" priority="8" operator="equal" dxfId="1">
      <formula>"WATCH"</formula>
    </cfRule>
    <cfRule type="cellIs" priority="9" operator="equal" dxfId="2">
      <formula>"GOOD"</formula>
    </cfRule>
  </conditionalFormatting>
  <dataValidations count="5">
    <dataValidation sqref="A3:A202" showDropDown="0" showInputMessage="0" showErrorMessage="1" allowBlank="0" errorTitle="climblog" error="Value outside the allowed range/choices" type="date" operator="greaterThan">
      <formula1>DATE(2020,1,1)</formula1>
    </dataValidation>
    <dataValidation sqref="B3:B202" showDropDown="0" showInputMessage="0" showErrorMessage="1" allowBlank="0" errorTitle="climblog" error="Value outside the allowed range/choices" type="whole" operator="between">
      <formula1>1</formula1>
      <formula2>9</formula2>
    </dataValidation>
    <dataValidation sqref="D3:D202" showDropDown="0" showInputMessage="0" showErrorMessage="1" allowBlank="0" errorTitle="climblog" error="Value outside the allowed range/choices" type="list">
      <formula1>"Indoor,Outdoor,Home wall"</formula1>
    </dataValidation>
    <dataValidation sqref="E3:E202" showDropDown="0" showInputMessage="0" showErrorMessage="1" allowBlank="0" errorTitle="climblog" error="Value outside the allowed range/choices" type="list">
      <formula1>"Climbing,Hangboard,Strength,Endurance / ARC,Active rest"</formula1>
    </dataValidation>
    <dataValidation sqref="G3:G202" showDropDown="0" showInputMessage="0" showErrorMessage="1" allowBlank="0" errorTitle="climblog" error="Value outside the allowed range/choices" type="whole" operator="between">
      <formula1>0</formula1>
      <formula2>600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9" customWidth="1" min="4" max="4"/>
    <col width="8" customWidth="1" min="5" max="5"/>
    <col width="8" customWidth="1" min="6" max="6"/>
    <col width="40" customWidth="1" min="7" max="7"/>
    <col width="9" customWidth="1" min="8" max="8"/>
    <col width="9" customWidth="1" min="9" max="9"/>
    <col width="9" customWidth="1" min="10" max="10"/>
    <col width="40" customWidth="1" min="11" max="11"/>
    <col width="9" customWidth="1" min="12" max="12"/>
    <col width="9" customWidth="1" min="13" max="13"/>
    <col width="10" customWidth="1" min="14" max="14"/>
    <col width="9" customWidth="1" min="15" max="15"/>
    <col width="16" customWidth="1" min="16" max="16"/>
    <col hidden="1" width="10" customWidth="1" min="17" max="17"/>
    <col width="12" customWidth="1" min="18" max="18"/>
    <col width="8" customWidth="1" min="19" max="19"/>
  </cols>
  <sheetData>
    <row r="1" ht="48" customHeight="1">
      <c r="A1" s="1" t="inlineStr">
        <is>
          <t>Date</t>
        </is>
      </c>
      <c r="B1" s="1" t="inlineStr">
        <is>
          <t>Session #
(blank = 1)</t>
        </is>
      </c>
      <c r="C1" s="2" t="inlineStr">
        <is>
          <t>Sleep
(hours)</t>
        </is>
      </c>
      <c r="D1" s="2" t="inlineStr">
        <is>
          <t>Sleep quality
(1–10)</t>
        </is>
      </c>
      <c r="E1" s="2" t="inlineStr">
        <is>
          <t>Mood
(1–10)</t>
        </is>
      </c>
      <c r="F1" s="2" t="inlineStr">
        <is>
          <t>Energy
(1–10)</t>
        </is>
      </c>
      <c r="G1" s="2" t="inlineStr">
        <is>
          <t>Pre-session note</t>
        </is>
      </c>
      <c r="H1" s="3" t="inlineStr">
        <is>
          <t>Post fatigue
(1–10 ↓)</t>
        </is>
      </c>
      <c r="I1" s="3" t="inlineStr">
        <is>
          <t>Post mood
(1–10)</t>
        </is>
      </c>
      <c r="J1" s="3" t="inlineStr">
        <is>
          <t>Recovery feel
(1–10)</t>
        </is>
      </c>
      <c r="K1" s="3" t="inlineStr">
        <is>
          <t>Post-session note</t>
        </is>
      </c>
      <c r="L1" s="4" t="inlineStr">
        <is>
          <t>Pre status</t>
        </is>
      </c>
      <c r="M1" s="4" t="inlineStr">
        <is>
          <t>Post status</t>
        </is>
      </c>
      <c r="N1" s="4" t="inlineStr">
        <is>
          <t>Wellbeing status</t>
        </is>
      </c>
      <c r="O1" s="4" t="inlineStr">
        <is>
          <t>Wellbeing score</t>
        </is>
      </c>
      <c r="P1" s="4" t="inlineStr">
        <is>
          <t>Session check</t>
        </is>
      </c>
      <c r="Q1" s="4" t="inlineStr">
        <is>
          <t>key (auto, hidden)</t>
        </is>
      </c>
      <c r="R1" s="5" t="inlineStr">
        <is>
          <t>updated_at
(app fills)</t>
        </is>
      </c>
      <c r="S1" s="5" t="inlineStr">
        <is>
          <t>deleted
(app fills)</t>
        </is>
      </c>
    </row>
    <row r="2" ht="18" customHeight="1">
      <c r="A2" s="6" t="inlineStr">
        <is>
          <t>date</t>
        </is>
      </c>
      <c r="B2" s="6" t="inlineStr">
        <is>
          <t>session_no</t>
        </is>
      </c>
      <c r="C2" s="7" t="inlineStr">
        <is>
          <t>wb_sleep_hours</t>
        </is>
      </c>
      <c r="D2" s="7" t="inlineStr">
        <is>
          <t>wb_sleep_quality</t>
        </is>
      </c>
      <c r="E2" s="7" t="inlineStr">
        <is>
          <t>wb_mood_pre</t>
        </is>
      </c>
      <c r="F2" s="7" t="inlineStr">
        <is>
          <t>wb_energy_pre</t>
        </is>
      </c>
      <c r="G2" s="7" t="inlineStr">
        <is>
          <t>wb_note_pre</t>
        </is>
      </c>
      <c r="H2" s="8" t="inlineStr">
        <is>
          <t>wb_fatigue_post</t>
        </is>
      </c>
      <c r="I2" s="8" t="inlineStr">
        <is>
          <t>wb_mood_post</t>
        </is>
      </c>
      <c r="J2" s="8" t="inlineStr">
        <is>
          <t>wb_recovery_feel</t>
        </is>
      </c>
      <c r="K2" s="8" t="inlineStr">
        <is>
          <t>wb_note_post</t>
        </is>
      </c>
      <c r="L2" s="9" t="inlineStr">
        <is>
          <t>auto:wb_pre_status</t>
        </is>
      </c>
      <c r="M2" s="9" t="inlineStr">
        <is>
          <t>auto:wb_post_status</t>
        </is>
      </c>
      <c r="N2" s="9" t="inlineStr">
        <is>
          <t>auto:wb_status</t>
        </is>
      </c>
      <c r="O2" s="9" t="inlineStr">
        <is>
          <t>auto:wb_score</t>
        </is>
      </c>
      <c r="P2" s="9" t="inlineStr">
        <is>
          <t>auto:session_check</t>
        </is>
      </c>
      <c r="Q2" s="9" t="inlineStr">
        <is>
          <t>auto:_key</t>
        </is>
      </c>
      <c r="R2" s="10" t="inlineStr">
        <is>
          <t>updated_at</t>
        </is>
      </c>
      <c r="S2" s="10" t="inlineStr">
        <is>
          <t>deleted</t>
        </is>
      </c>
    </row>
    <row r="3">
      <c r="A3" s="11" t="n">
        <v>46312</v>
      </c>
      <c r="C3" t="n">
        <v>7.5</v>
      </c>
      <c r="D3" t="n">
        <v>7</v>
      </c>
      <c r="E3" t="n">
        <v>8</v>
      </c>
      <c r="F3" t="n">
        <v>6</v>
      </c>
      <c r="G3" s="12" t="inlineStr">
        <is>
          <t>[ESEMPIO] Un po' stanco dal lavoro di ieri, però motivato. Caffè e via.</t>
        </is>
      </c>
      <c r="H3" t="n">
        <v>6</v>
      </c>
      <c r="I3" t="n">
        <v>7</v>
      </c>
      <c r="J3" t="n">
        <v>5</v>
      </c>
      <c r="K3" s="12" t="inlineStr">
        <is>
          <t>[ESEMPIO] Stanco ma contento; pelle provata sulle dita.</t>
        </is>
      </c>
      <c r="L3" s="13">
        <f>IF($A3="","",IF(COUNT(D3:F3)&lt;3,"",IF(MIN(D3:F3)&lt;=low_max,"LOW",IF(MIN(D3:F3)&lt;=watch_max,"WATCH","GOOD"))))</f>
        <v/>
      </c>
      <c r="M3" s="13">
        <f>IF($A3="","",IF(COUNT(H3:J3)&lt;3,"",IF(MIN((11-H3),I3,J3)&lt;=low_max,"LOW",IF(MIN((11-H3),I3,J3)&lt;=watch_max,"WATCH","GOOD"))))</f>
        <v/>
      </c>
      <c r="N3" s="13">
        <f>IF(OR(L3="LOW",M3="LOW"),"LOW",IF(OR(L3="WATCH",M3="WATCH"),"WATCH",IF(OR(L3="GOOD",M3="GOOD"),"GOOD","")))</f>
        <v/>
      </c>
      <c r="O3" s="13">
        <f>IF(COUNT(D3:F3,H3:J3)&lt;6,"",ROUND(AVERAGE(D3,E3,F3,(11-H3),I3,J3),1))</f>
        <v/>
      </c>
      <c r="P3" s="13">
        <f>IF($A3="","",IF(COUNTIFS(Session!$L$3:$L$202,Q3)=0,"⚠ no Session row","ok"))</f>
        <v/>
      </c>
      <c r="Q3" s="14">
        <f>IF($A3="","",$A3*10+IF($B3="",1,$B3))</f>
        <v/>
      </c>
    </row>
    <row r="4">
      <c r="A4" s="11" t="n">
        <v>46313</v>
      </c>
      <c r="C4" t="n">
        <v>8</v>
      </c>
      <c r="D4" t="n">
        <v>8</v>
      </c>
      <c r="E4" t="n">
        <v>8</v>
      </c>
      <c r="F4" t="n">
        <v>9</v>
      </c>
      <c r="G4" s="12" t="inlineStr">
        <is>
          <t>[ESEMPIO] Dormito benissimo, energia alta.</t>
        </is>
      </c>
      <c r="H4" t="n">
        <v>3</v>
      </c>
      <c r="I4" t="n">
        <v>9</v>
      </c>
      <c r="J4" t="n">
        <v>8</v>
      </c>
      <c r="K4" s="12" t="inlineStr">
        <is>
          <t>[ESEMPIO] Sessione leggera, mi sento meglio di prima.</t>
        </is>
      </c>
      <c r="L4" s="13">
        <f>IF($A4="","",IF(COUNT(D4:F4)&lt;3,"",IF(MIN(D4:F4)&lt;=low_max,"LOW",IF(MIN(D4:F4)&lt;=watch_max,"WATCH","GOOD"))))</f>
        <v/>
      </c>
      <c r="M4" s="13">
        <f>IF($A4="","",IF(COUNT(H4:J4)&lt;3,"",IF(MIN((11-H4),I4,J4)&lt;=low_max,"LOW",IF(MIN((11-H4),I4,J4)&lt;=watch_max,"WATCH","GOOD"))))</f>
        <v/>
      </c>
      <c r="N4" s="13">
        <f>IF(OR(L4="LOW",M4="LOW"),"LOW",IF(OR(L4="WATCH",M4="WATCH"),"WATCH",IF(OR(L4="GOOD",M4="GOOD"),"GOOD","")))</f>
        <v/>
      </c>
      <c r="O4" s="13">
        <f>IF(COUNT(D4:F4,H4:J4)&lt;6,"",ROUND(AVERAGE(D4,E4,F4,(11-H4),I4,J4),1))</f>
        <v/>
      </c>
      <c r="P4" s="13">
        <f>IF($A4="","",IF(COUNTIFS(Session!$L$3:$L$202,Q4)=0,"⚠ no Session row","ok"))</f>
        <v/>
      </c>
      <c r="Q4" s="14">
        <f>IF($A4="","",$A4*10+IF($B4="",1,$B4))</f>
        <v/>
      </c>
    </row>
    <row r="5">
      <c r="A5" s="11" t="n">
        <v>46316</v>
      </c>
      <c r="C5" t="n">
        <v>6.5</v>
      </c>
      <c r="D5" t="n">
        <v>4</v>
      </c>
      <c r="E5" t="n">
        <v>7</v>
      </c>
      <c r="F5" t="n">
        <v>5</v>
      </c>
      <c r="G5" s="12" t="inlineStr">
        <is>
          <t>[ESEMPIO] Dormito poco, però voglia di scalare. Città → falesia in 40'.</t>
        </is>
      </c>
      <c r="K5" s="12" t="n"/>
      <c r="L5" s="13">
        <f>IF($A5="","",IF(COUNT(D5:F5)&lt;3,"",IF(MIN(D5:F5)&lt;=low_max,"LOW",IF(MIN(D5:F5)&lt;=watch_max,"WATCH","GOOD"))))</f>
        <v/>
      </c>
      <c r="M5" s="13">
        <f>IF($A5="","",IF(COUNT(H5:J5)&lt;3,"",IF(MIN((11-H5),I5,J5)&lt;=low_max,"LOW",IF(MIN((11-H5),I5,J5)&lt;=watch_max,"WATCH","GOOD"))))</f>
        <v/>
      </c>
      <c r="N5" s="13">
        <f>IF(OR(L5="LOW",M5="LOW"),"LOW",IF(OR(L5="WATCH",M5="WATCH"),"WATCH",IF(OR(L5="GOOD",M5="GOOD"),"GOOD","")))</f>
        <v/>
      </c>
      <c r="O5" s="13">
        <f>IF(COUNT(D5:F5,H5:J5)&lt;6,"",ROUND(AVERAGE(D5,E5,F5,(11-H5),I5,J5),1))</f>
        <v/>
      </c>
      <c r="P5" s="13">
        <f>IF($A5="","",IF(COUNTIFS(Session!$L$3:$L$202,Q5)=0,"⚠ no Session row","ok"))</f>
        <v/>
      </c>
      <c r="Q5" s="14">
        <f>IF($A5="","",$A5*10+IF($B5="",1,$B5))</f>
        <v/>
      </c>
    </row>
    <row r="6">
      <c r="A6" s="11" t="n"/>
      <c r="G6" s="12" t="n"/>
      <c r="K6" s="12" t="n"/>
      <c r="L6" s="13">
        <f>IF($A6="","",IF(COUNT(D6:F6)&lt;3,"",IF(MIN(D6:F6)&lt;=low_max,"LOW",IF(MIN(D6:F6)&lt;=watch_max,"WATCH","GOOD"))))</f>
        <v/>
      </c>
      <c r="M6" s="13">
        <f>IF($A6="","",IF(COUNT(H6:J6)&lt;3,"",IF(MIN((11-H6),I6,J6)&lt;=low_max,"LOW",IF(MIN((11-H6),I6,J6)&lt;=watch_max,"WATCH","GOOD"))))</f>
        <v/>
      </c>
      <c r="N6" s="13">
        <f>IF(OR(L6="LOW",M6="LOW"),"LOW",IF(OR(L6="WATCH",M6="WATCH"),"WATCH",IF(OR(L6="GOOD",M6="GOOD"),"GOOD","")))</f>
        <v/>
      </c>
      <c r="O6" s="13">
        <f>IF(COUNT(D6:F6,H6:J6)&lt;6,"",ROUND(AVERAGE(D6,E6,F6,(11-H6),I6,J6),1))</f>
        <v/>
      </c>
      <c r="P6" s="13">
        <f>IF($A6="","",IF(COUNTIFS(Session!$L$3:$L$202,Q6)=0,"⚠ no Session row","ok"))</f>
        <v/>
      </c>
      <c r="Q6" s="14">
        <f>IF($A6="","",$A6*10+IF($B6="",1,$B6))</f>
        <v/>
      </c>
    </row>
    <row r="7">
      <c r="A7" s="11" t="n"/>
      <c r="G7" s="12" t="n"/>
      <c r="K7" s="12" t="n"/>
      <c r="L7" s="13">
        <f>IF($A7="","",IF(COUNT(D7:F7)&lt;3,"",IF(MIN(D7:F7)&lt;=low_max,"LOW",IF(MIN(D7:F7)&lt;=watch_max,"WATCH","GOOD"))))</f>
        <v/>
      </c>
      <c r="M7" s="13">
        <f>IF($A7="","",IF(COUNT(H7:J7)&lt;3,"",IF(MIN((11-H7),I7,J7)&lt;=low_max,"LOW",IF(MIN((11-H7),I7,J7)&lt;=watch_max,"WATCH","GOOD"))))</f>
        <v/>
      </c>
      <c r="N7" s="13">
        <f>IF(OR(L7="LOW",M7="LOW"),"LOW",IF(OR(L7="WATCH",M7="WATCH"),"WATCH",IF(OR(L7="GOOD",M7="GOOD"),"GOOD","")))</f>
        <v/>
      </c>
      <c r="O7" s="13">
        <f>IF(COUNT(D7:F7,H7:J7)&lt;6,"",ROUND(AVERAGE(D7,E7,F7,(11-H7),I7,J7),1))</f>
        <v/>
      </c>
      <c r="P7" s="13">
        <f>IF($A7="","",IF(COUNTIFS(Session!$L$3:$L$202,Q7)=0,"⚠ no Session row","ok"))</f>
        <v/>
      </c>
      <c r="Q7" s="14">
        <f>IF($A7="","",$A7*10+IF($B7="",1,$B7))</f>
        <v/>
      </c>
    </row>
    <row r="8">
      <c r="A8" s="11" t="n"/>
      <c r="G8" s="12" t="n"/>
      <c r="K8" s="12" t="n"/>
      <c r="L8" s="13">
        <f>IF($A8="","",IF(COUNT(D8:F8)&lt;3,"",IF(MIN(D8:F8)&lt;=low_max,"LOW",IF(MIN(D8:F8)&lt;=watch_max,"WATCH","GOOD"))))</f>
        <v/>
      </c>
      <c r="M8" s="13">
        <f>IF($A8="","",IF(COUNT(H8:J8)&lt;3,"",IF(MIN((11-H8),I8,J8)&lt;=low_max,"LOW",IF(MIN((11-H8),I8,J8)&lt;=watch_max,"WATCH","GOOD"))))</f>
        <v/>
      </c>
      <c r="N8" s="13">
        <f>IF(OR(L8="LOW",M8="LOW"),"LOW",IF(OR(L8="WATCH",M8="WATCH"),"WATCH",IF(OR(L8="GOOD",M8="GOOD"),"GOOD","")))</f>
        <v/>
      </c>
      <c r="O8" s="13">
        <f>IF(COUNT(D8:F8,H8:J8)&lt;6,"",ROUND(AVERAGE(D8,E8,F8,(11-H8),I8,J8),1))</f>
        <v/>
      </c>
      <c r="P8" s="13">
        <f>IF($A8="","",IF(COUNTIFS(Session!$L$3:$L$202,Q8)=0,"⚠ no Session row","ok"))</f>
        <v/>
      </c>
      <c r="Q8" s="14">
        <f>IF($A8="","",$A8*10+IF($B8="",1,$B8))</f>
        <v/>
      </c>
    </row>
    <row r="9">
      <c r="A9" s="11" t="n"/>
      <c r="G9" s="12" t="n"/>
      <c r="K9" s="12" t="n"/>
      <c r="L9" s="13">
        <f>IF($A9="","",IF(COUNT(D9:F9)&lt;3,"",IF(MIN(D9:F9)&lt;=low_max,"LOW",IF(MIN(D9:F9)&lt;=watch_max,"WATCH","GOOD"))))</f>
        <v/>
      </c>
      <c r="M9" s="13">
        <f>IF($A9="","",IF(COUNT(H9:J9)&lt;3,"",IF(MIN((11-H9),I9,J9)&lt;=low_max,"LOW",IF(MIN((11-H9),I9,J9)&lt;=watch_max,"WATCH","GOOD"))))</f>
        <v/>
      </c>
      <c r="N9" s="13">
        <f>IF(OR(L9="LOW",M9="LOW"),"LOW",IF(OR(L9="WATCH",M9="WATCH"),"WATCH",IF(OR(L9="GOOD",M9="GOOD"),"GOOD","")))</f>
        <v/>
      </c>
      <c r="O9" s="13">
        <f>IF(COUNT(D9:F9,H9:J9)&lt;6,"",ROUND(AVERAGE(D9,E9,F9,(11-H9),I9,J9),1))</f>
        <v/>
      </c>
      <c r="P9" s="13">
        <f>IF($A9="","",IF(COUNTIFS(Session!$L$3:$L$202,Q9)=0,"⚠ no Session row","ok"))</f>
        <v/>
      </c>
      <c r="Q9" s="14">
        <f>IF($A9="","",$A9*10+IF($B9="",1,$B9))</f>
        <v/>
      </c>
    </row>
    <row r="10">
      <c r="A10" s="11" t="n"/>
      <c r="G10" s="12" t="n"/>
      <c r="K10" s="12" t="n"/>
      <c r="L10" s="13">
        <f>IF($A10="","",IF(COUNT(D10:F10)&lt;3,"",IF(MIN(D10:F10)&lt;=low_max,"LOW",IF(MIN(D10:F10)&lt;=watch_max,"WATCH","GOOD"))))</f>
        <v/>
      </c>
      <c r="M10" s="13">
        <f>IF($A10="","",IF(COUNT(H10:J10)&lt;3,"",IF(MIN((11-H10),I10,J10)&lt;=low_max,"LOW",IF(MIN((11-H10),I10,J10)&lt;=watch_max,"WATCH","GOOD"))))</f>
        <v/>
      </c>
      <c r="N10" s="13">
        <f>IF(OR(L10="LOW",M10="LOW"),"LOW",IF(OR(L10="WATCH",M10="WATCH"),"WATCH",IF(OR(L10="GOOD",M10="GOOD"),"GOOD","")))</f>
        <v/>
      </c>
      <c r="O10" s="13">
        <f>IF(COUNT(D10:F10,H10:J10)&lt;6,"",ROUND(AVERAGE(D10,E10,F10,(11-H10),I10,J10),1))</f>
        <v/>
      </c>
      <c r="P10" s="13">
        <f>IF($A10="","",IF(COUNTIFS(Session!$L$3:$L$202,Q10)=0,"⚠ no Session row","ok"))</f>
        <v/>
      </c>
      <c r="Q10" s="14">
        <f>IF($A10="","",$A10*10+IF($B10="",1,$B10))</f>
        <v/>
      </c>
    </row>
    <row r="11">
      <c r="A11" s="11" t="n"/>
      <c r="G11" s="12" t="n"/>
      <c r="K11" s="12" t="n"/>
      <c r="L11" s="13">
        <f>IF($A11="","",IF(COUNT(D11:F11)&lt;3,"",IF(MIN(D11:F11)&lt;=low_max,"LOW",IF(MIN(D11:F11)&lt;=watch_max,"WATCH","GOOD"))))</f>
        <v/>
      </c>
      <c r="M11" s="13">
        <f>IF($A11="","",IF(COUNT(H11:J11)&lt;3,"",IF(MIN((11-H11),I11,J11)&lt;=low_max,"LOW",IF(MIN((11-H11),I11,J11)&lt;=watch_max,"WATCH","GOOD"))))</f>
        <v/>
      </c>
      <c r="N11" s="13">
        <f>IF(OR(L11="LOW",M11="LOW"),"LOW",IF(OR(L11="WATCH",M11="WATCH"),"WATCH",IF(OR(L11="GOOD",M11="GOOD"),"GOOD","")))</f>
        <v/>
      </c>
      <c r="O11" s="13">
        <f>IF(COUNT(D11:F11,H11:J11)&lt;6,"",ROUND(AVERAGE(D11,E11,F11,(11-H11),I11,J11),1))</f>
        <v/>
      </c>
      <c r="P11" s="13">
        <f>IF($A11="","",IF(COUNTIFS(Session!$L$3:$L$202,Q11)=0,"⚠ no Session row","ok"))</f>
        <v/>
      </c>
      <c r="Q11" s="14">
        <f>IF($A11="","",$A11*10+IF($B11="",1,$B11))</f>
        <v/>
      </c>
    </row>
    <row r="12">
      <c r="A12" s="11" t="n"/>
      <c r="G12" s="12" t="n"/>
      <c r="K12" s="12" t="n"/>
      <c r="L12" s="13">
        <f>IF($A12="","",IF(COUNT(D12:F12)&lt;3,"",IF(MIN(D12:F12)&lt;=low_max,"LOW",IF(MIN(D12:F12)&lt;=watch_max,"WATCH","GOOD"))))</f>
        <v/>
      </c>
      <c r="M12" s="13">
        <f>IF($A12="","",IF(COUNT(H12:J12)&lt;3,"",IF(MIN((11-H12),I12,J12)&lt;=low_max,"LOW",IF(MIN((11-H12),I12,J12)&lt;=watch_max,"WATCH","GOOD"))))</f>
        <v/>
      </c>
      <c r="N12" s="13">
        <f>IF(OR(L12="LOW",M12="LOW"),"LOW",IF(OR(L12="WATCH",M12="WATCH"),"WATCH",IF(OR(L12="GOOD",M12="GOOD"),"GOOD","")))</f>
        <v/>
      </c>
      <c r="O12" s="13">
        <f>IF(COUNT(D12:F12,H12:J12)&lt;6,"",ROUND(AVERAGE(D12,E12,F12,(11-H12),I12,J12),1))</f>
        <v/>
      </c>
      <c r="P12" s="13">
        <f>IF($A12="","",IF(COUNTIFS(Session!$L$3:$L$202,Q12)=0,"⚠ no Session row","ok"))</f>
        <v/>
      </c>
      <c r="Q12" s="14">
        <f>IF($A12="","",$A12*10+IF($B12="",1,$B12))</f>
        <v/>
      </c>
    </row>
    <row r="13">
      <c r="A13" s="11" t="n"/>
      <c r="G13" s="12" t="n"/>
      <c r="K13" s="12" t="n"/>
      <c r="L13" s="13">
        <f>IF($A13="","",IF(COUNT(D13:F13)&lt;3,"",IF(MIN(D13:F13)&lt;=low_max,"LOW",IF(MIN(D13:F13)&lt;=watch_max,"WATCH","GOOD"))))</f>
        <v/>
      </c>
      <c r="M13" s="13">
        <f>IF($A13="","",IF(COUNT(H13:J13)&lt;3,"",IF(MIN((11-H13),I13,J13)&lt;=low_max,"LOW",IF(MIN((11-H13),I13,J13)&lt;=watch_max,"WATCH","GOOD"))))</f>
        <v/>
      </c>
      <c r="N13" s="13">
        <f>IF(OR(L13="LOW",M13="LOW"),"LOW",IF(OR(L13="WATCH",M13="WATCH"),"WATCH",IF(OR(L13="GOOD",M13="GOOD"),"GOOD","")))</f>
        <v/>
      </c>
      <c r="O13" s="13">
        <f>IF(COUNT(D13:F13,H13:J13)&lt;6,"",ROUND(AVERAGE(D13,E13,F13,(11-H13),I13,J13),1))</f>
        <v/>
      </c>
      <c r="P13" s="13">
        <f>IF($A13="","",IF(COUNTIFS(Session!$L$3:$L$202,Q13)=0,"⚠ no Session row","ok"))</f>
        <v/>
      </c>
      <c r="Q13" s="14">
        <f>IF($A13="","",$A13*10+IF($B13="",1,$B13))</f>
        <v/>
      </c>
    </row>
    <row r="14">
      <c r="A14" s="11" t="n"/>
      <c r="G14" s="12" t="n"/>
      <c r="K14" s="12" t="n"/>
      <c r="L14" s="13">
        <f>IF($A14="","",IF(COUNT(D14:F14)&lt;3,"",IF(MIN(D14:F14)&lt;=low_max,"LOW",IF(MIN(D14:F14)&lt;=watch_max,"WATCH","GOOD"))))</f>
        <v/>
      </c>
      <c r="M14" s="13">
        <f>IF($A14="","",IF(COUNT(H14:J14)&lt;3,"",IF(MIN((11-H14),I14,J14)&lt;=low_max,"LOW",IF(MIN((11-H14),I14,J14)&lt;=watch_max,"WATCH","GOOD"))))</f>
        <v/>
      </c>
      <c r="N14" s="13">
        <f>IF(OR(L14="LOW",M14="LOW"),"LOW",IF(OR(L14="WATCH",M14="WATCH"),"WATCH",IF(OR(L14="GOOD",M14="GOOD"),"GOOD","")))</f>
        <v/>
      </c>
      <c r="O14" s="13">
        <f>IF(COUNT(D14:F14,H14:J14)&lt;6,"",ROUND(AVERAGE(D14,E14,F14,(11-H14),I14,J14),1))</f>
        <v/>
      </c>
      <c r="P14" s="13">
        <f>IF($A14="","",IF(COUNTIFS(Session!$L$3:$L$202,Q14)=0,"⚠ no Session row","ok"))</f>
        <v/>
      </c>
      <c r="Q14" s="14">
        <f>IF($A14="","",$A14*10+IF($B14="",1,$B14))</f>
        <v/>
      </c>
    </row>
    <row r="15">
      <c r="A15" s="11" t="n"/>
      <c r="G15" s="12" t="n"/>
      <c r="K15" s="12" t="n"/>
      <c r="L15" s="13">
        <f>IF($A15="","",IF(COUNT(D15:F15)&lt;3,"",IF(MIN(D15:F15)&lt;=low_max,"LOW",IF(MIN(D15:F15)&lt;=watch_max,"WATCH","GOOD"))))</f>
        <v/>
      </c>
      <c r="M15" s="13">
        <f>IF($A15="","",IF(COUNT(H15:J15)&lt;3,"",IF(MIN((11-H15),I15,J15)&lt;=low_max,"LOW",IF(MIN((11-H15),I15,J15)&lt;=watch_max,"WATCH","GOOD"))))</f>
        <v/>
      </c>
      <c r="N15" s="13">
        <f>IF(OR(L15="LOW",M15="LOW"),"LOW",IF(OR(L15="WATCH",M15="WATCH"),"WATCH",IF(OR(L15="GOOD",M15="GOOD"),"GOOD","")))</f>
        <v/>
      </c>
      <c r="O15" s="13">
        <f>IF(COUNT(D15:F15,H15:J15)&lt;6,"",ROUND(AVERAGE(D15,E15,F15,(11-H15),I15,J15),1))</f>
        <v/>
      </c>
      <c r="P15" s="13">
        <f>IF($A15="","",IF(COUNTIFS(Session!$L$3:$L$202,Q15)=0,"⚠ no Session row","ok"))</f>
        <v/>
      </c>
      <c r="Q15" s="14">
        <f>IF($A15="","",$A15*10+IF($B15="",1,$B15))</f>
        <v/>
      </c>
    </row>
    <row r="16">
      <c r="A16" s="11" t="n"/>
      <c r="G16" s="12" t="n"/>
      <c r="K16" s="12" t="n"/>
      <c r="L16" s="13">
        <f>IF($A16="","",IF(COUNT(D16:F16)&lt;3,"",IF(MIN(D16:F16)&lt;=low_max,"LOW",IF(MIN(D16:F16)&lt;=watch_max,"WATCH","GOOD"))))</f>
        <v/>
      </c>
      <c r="M16" s="13">
        <f>IF($A16="","",IF(COUNT(H16:J16)&lt;3,"",IF(MIN((11-H16),I16,J16)&lt;=low_max,"LOW",IF(MIN((11-H16),I16,J16)&lt;=watch_max,"WATCH","GOOD"))))</f>
        <v/>
      </c>
      <c r="N16" s="13">
        <f>IF(OR(L16="LOW",M16="LOW"),"LOW",IF(OR(L16="WATCH",M16="WATCH"),"WATCH",IF(OR(L16="GOOD",M16="GOOD"),"GOOD","")))</f>
        <v/>
      </c>
      <c r="O16" s="13">
        <f>IF(COUNT(D16:F16,H16:J16)&lt;6,"",ROUND(AVERAGE(D16,E16,F16,(11-H16),I16,J16),1))</f>
        <v/>
      </c>
      <c r="P16" s="13">
        <f>IF($A16="","",IF(COUNTIFS(Session!$L$3:$L$202,Q16)=0,"⚠ no Session row","ok"))</f>
        <v/>
      </c>
      <c r="Q16" s="14">
        <f>IF($A16="","",$A16*10+IF($B16="",1,$B16))</f>
        <v/>
      </c>
    </row>
    <row r="17">
      <c r="A17" s="11" t="n"/>
      <c r="G17" s="12" t="n"/>
      <c r="K17" s="12" t="n"/>
      <c r="L17" s="13">
        <f>IF($A17="","",IF(COUNT(D17:F17)&lt;3,"",IF(MIN(D17:F17)&lt;=low_max,"LOW",IF(MIN(D17:F17)&lt;=watch_max,"WATCH","GOOD"))))</f>
        <v/>
      </c>
      <c r="M17" s="13">
        <f>IF($A17="","",IF(COUNT(H17:J17)&lt;3,"",IF(MIN((11-H17),I17,J17)&lt;=low_max,"LOW",IF(MIN((11-H17),I17,J17)&lt;=watch_max,"WATCH","GOOD"))))</f>
        <v/>
      </c>
      <c r="N17" s="13">
        <f>IF(OR(L17="LOW",M17="LOW"),"LOW",IF(OR(L17="WATCH",M17="WATCH"),"WATCH",IF(OR(L17="GOOD",M17="GOOD"),"GOOD","")))</f>
        <v/>
      </c>
      <c r="O17" s="13">
        <f>IF(COUNT(D17:F17,H17:J17)&lt;6,"",ROUND(AVERAGE(D17,E17,F17,(11-H17),I17,J17),1))</f>
        <v/>
      </c>
      <c r="P17" s="13">
        <f>IF($A17="","",IF(COUNTIFS(Session!$L$3:$L$202,Q17)=0,"⚠ no Session row","ok"))</f>
        <v/>
      </c>
      <c r="Q17" s="14">
        <f>IF($A17="","",$A17*10+IF($B17="",1,$B17))</f>
        <v/>
      </c>
    </row>
    <row r="18">
      <c r="A18" s="11" t="n"/>
      <c r="G18" s="12" t="n"/>
      <c r="K18" s="12" t="n"/>
      <c r="L18" s="13">
        <f>IF($A18="","",IF(COUNT(D18:F18)&lt;3,"",IF(MIN(D18:F18)&lt;=low_max,"LOW",IF(MIN(D18:F18)&lt;=watch_max,"WATCH","GOOD"))))</f>
        <v/>
      </c>
      <c r="M18" s="13">
        <f>IF($A18="","",IF(COUNT(H18:J18)&lt;3,"",IF(MIN((11-H18),I18,J18)&lt;=low_max,"LOW",IF(MIN((11-H18),I18,J18)&lt;=watch_max,"WATCH","GOOD"))))</f>
        <v/>
      </c>
      <c r="N18" s="13">
        <f>IF(OR(L18="LOW",M18="LOW"),"LOW",IF(OR(L18="WATCH",M18="WATCH"),"WATCH",IF(OR(L18="GOOD",M18="GOOD"),"GOOD","")))</f>
        <v/>
      </c>
      <c r="O18" s="13">
        <f>IF(COUNT(D18:F18,H18:J18)&lt;6,"",ROUND(AVERAGE(D18,E18,F18,(11-H18),I18,J18),1))</f>
        <v/>
      </c>
      <c r="P18" s="13">
        <f>IF($A18="","",IF(COUNTIFS(Session!$L$3:$L$202,Q18)=0,"⚠ no Session row","ok"))</f>
        <v/>
      </c>
      <c r="Q18" s="14">
        <f>IF($A18="","",$A18*10+IF($B18="",1,$B18))</f>
        <v/>
      </c>
    </row>
    <row r="19">
      <c r="A19" s="11" t="n"/>
      <c r="G19" s="12" t="n"/>
      <c r="K19" s="12" t="n"/>
      <c r="L19" s="13">
        <f>IF($A19="","",IF(COUNT(D19:F19)&lt;3,"",IF(MIN(D19:F19)&lt;=low_max,"LOW",IF(MIN(D19:F19)&lt;=watch_max,"WATCH","GOOD"))))</f>
        <v/>
      </c>
      <c r="M19" s="13">
        <f>IF($A19="","",IF(COUNT(H19:J19)&lt;3,"",IF(MIN((11-H19),I19,J19)&lt;=low_max,"LOW",IF(MIN((11-H19),I19,J19)&lt;=watch_max,"WATCH","GOOD"))))</f>
        <v/>
      </c>
      <c r="N19" s="13">
        <f>IF(OR(L19="LOW",M19="LOW"),"LOW",IF(OR(L19="WATCH",M19="WATCH"),"WATCH",IF(OR(L19="GOOD",M19="GOOD"),"GOOD","")))</f>
        <v/>
      </c>
      <c r="O19" s="13">
        <f>IF(COUNT(D19:F19,H19:J19)&lt;6,"",ROUND(AVERAGE(D19,E19,F19,(11-H19),I19,J19),1))</f>
        <v/>
      </c>
      <c r="P19" s="13">
        <f>IF($A19="","",IF(COUNTIFS(Session!$L$3:$L$202,Q19)=0,"⚠ no Session row","ok"))</f>
        <v/>
      </c>
      <c r="Q19" s="14">
        <f>IF($A19="","",$A19*10+IF($B19="",1,$B19))</f>
        <v/>
      </c>
    </row>
    <row r="20">
      <c r="A20" s="11" t="n"/>
      <c r="G20" s="12" t="n"/>
      <c r="K20" s="12" t="n"/>
      <c r="L20" s="13">
        <f>IF($A20="","",IF(COUNT(D20:F20)&lt;3,"",IF(MIN(D20:F20)&lt;=low_max,"LOW",IF(MIN(D20:F20)&lt;=watch_max,"WATCH","GOOD"))))</f>
        <v/>
      </c>
      <c r="M20" s="13">
        <f>IF($A20="","",IF(COUNT(H20:J20)&lt;3,"",IF(MIN((11-H20),I20,J20)&lt;=low_max,"LOW",IF(MIN((11-H20),I20,J20)&lt;=watch_max,"WATCH","GOOD"))))</f>
        <v/>
      </c>
      <c r="N20" s="13">
        <f>IF(OR(L20="LOW",M20="LOW"),"LOW",IF(OR(L20="WATCH",M20="WATCH"),"WATCH",IF(OR(L20="GOOD",M20="GOOD"),"GOOD","")))</f>
        <v/>
      </c>
      <c r="O20" s="13">
        <f>IF(COUNT(D20:F20,H20:J20)&lt;6,"",ROUND(AVERAGE(D20,E20,F20,(11-H20),I20,J20),1))</f>
        <v/>
      </c>
      <c r="P20" s="13">
        <f>IF($A20="","",IF(COUNTIFS(Session!$L$3:$L$202,Q20)=0,"⚠ no Session row","ok"))</f>
        <v/>
      </c>
      <c r="Q20" s="14">
        <f>IF($A20="","",$A20*10+IF($B20="",1,$B20))</f>
        <v/>
      </c>
    </row>
    <row r="21">
      <c r="A21" s="11" t="n"/>
      <c r="G21" s="12" t="n"/>
      <c r="K21" s="12" t="n"/>
      <c r="L21" s="13">
        <f>IF($A21="","",IF(COUNT(D21:F21)&lt;3,"",IF(MIN(D21:F21)&lt;=low_max,"LOW",IF(MIN(D21:F21)&lt;=watch_max,"WATCH","GOOD"))))</f>
        <v/>
      </c>
      <c r="M21" s="13">
        <f>IF($A21="","",IF(COUNT(H21:J21)&lt;3,"",IF(MIN((11-H21),I21,J21)&lt;=low_max,"LOW",IF(MIN((11-H21),I21,J21)&lt;=watch_max,"WATCH","GOOD"))))</f>
        <v/>
      </c>
      <c r="N21" s="13">
        <f>IF(OR(L21="LOW",M21="LOW"),"LOW",IF(OR(L21="WATCH",M21="WATCH"),"WATCH",IF(OR(L21="GOOD",M21="GOOD"),"GOOD","")))</f>
        <v/>
      </c>
      <c r="O21" s="13">
        <f>IF(COUNT(D21:F21,H21:J21)&lt;6,"",ROUND(AVERAGE(D21,E21,F21,(11-H21),I21,J21),1))</f>
        <v/>
      </c>
      <c r="P21" s="13">
        <f>IF($A21="","",IF(COUNTIFS(Session!$L$3:$L$202,Q21)=0,"⚠ no Session row","ok"))</f>
        <v/>
      </c>
      <c r="Q21" s="14">
        <f>IF($A21="","",$A21*10+IF($B21="",1,$B21))</f>
        <v/>
      </c>
    </row>
    <row r="22">
      <c r="A22" s="11" t="n"/>
      <c r="G22" s="12" t="n"/>
      <c r="K22" s="12" t="n"/>
      <c r="L22" s="13">
        <f>IF($A22="","",IF(COUNT(D22:F22)&lt;3,"",IF(MIN(D22:F22)&lt;=low_max,"LOW",IF(MIN(D22:F22)&lt;=watch_max,"WATCH","GOOD"))))</f>
        <v/>
      </c>
      <c r="M22" s="13">
        <f>IF($A22="","",IF(COUNT(H22:J22)&lt;3,"",IF(MIN((11-H22),I22,J22)&lt;=low_max,"LOW",IF(MIN((11-H22),I22,J22)&lt;=watch_max,"WATCH","GOOD"))))</f>
        <v/>
      </c>
      <c r="N22" s="13">
        <f>IF(OR(L22="LOW",M22="LOW"),"LOW",IF(OR(L22="WATCH",M22="WATCH"),"WATCH",IF(OR(L22="GOOD",M22="GOOD"),"GOOD","")))</f>
        <v/>
      </c>
      <c r="O22" s="13">
        <f>IF(COUNT(D22:F22,H22:J22)&lt;6,"",ROUND(AVERAGE(D22,E22,F22,(11-H22),I22,J22),1))</f>
        <v/>
      </c>
      <c r="P22" s="13">
        <f>IF($A22="","",IF(COUNTIFS(Session!$L$3:$L$202,Q22)=0,"⚠ no Session row","ok"))</f>
        <v/>
      </c>
      <c r="Q22" s="14">
        <f>IF($A22="","",$A22*10+IF($B22="",1,$B22))</f>
        <v/>
      </c>
    </row>
    <row r="23">
      <c r="A23" s="11" t="n"/>
      <c r="G23" s="12" t="n"/>
      <c r="K23" s="12" t="n"/>
      <c r="L23" s="13">
        <f>IF($A23="","",IF(COUNT(D23:F23)&lt;3,"",IF(MIN(D23:F23)&lt;=low_max,"LOW",IF(MIN(D23:F23)&lt;=watch_max,"WATCH","GOOD"))))</f>
        <v/>
      </c>
      <c r="M23" s="13">
        <f>IF($A23="","",IF(COUNT(H23:J23)&lt;3,"",IF(MIN((11-H23),I23,J23)&lt;=low_max,"LOW",IF(MIN((11-H23),I23,J23)&lt;=watch_max,"WATCH","GOOD"))))</f>
        <v/>
      </c>
      <c r="N23" s="13">
        <f>IF(OR(L23="LOW",M23="LOW"),"LOW",IF(OR(L23="WATCH",M23="WATCH"),"WATCH",IF(OR(L23="GOOD",M23="GOOD"),"GOOD","")))</f>
        <v/>
      </c>
      <c r="O23" s="13">
        <f>IF(COUNT(D23:F23,H23:J23)&lt;6,"",ROUND(AVERAGE(D23,E23,F23,(11-H23),I23,J23),1))</f>
        <v/>
      </c>
      <c r="P23" s="13">
        <f>IF($A23="","",IF(COUNTIFS(Session!$L$3:$L$202,Q23)=0,"⚠ no Session row","ok"))</f>
        <v/>
      </c>
      <c r="Q23" s="14">
        <f>IF($A23="","",$A23*10+IF($B23="",1,$B23))</f>
        <v/>
      </c>
    </row>
    <row r="24">
      <c r="A24" s="11" t="n"/>
      <c r="G24" s="12" t="n"/>
      <c r="K24" s="12" t="n"/>
      <c r="L24" s="13">
        <f>IF($A24="","",IF(COUNT(D24:F24)&lt;3,"",IF(MIN(D24:F24)&lt;=low_max,"LOW",IF(MIN(D24:F24)&lt;=watch_max,"WATCH","GOOD"))))</f>
        <v/>
      </c>
      <c r="M24" s="13">
        <f>IF($A24="","",IF(COUNT(H24:J24)&lt;3,"",IF(MIN((11-H24),I24,J24)&lt;=low_max,"LOW",IF(MIN((11-H24),I24,J24)&lt;=watch_max,"WATCH","GOOD"))))</f>
        <v/>
      </c>
      <c r="N24" s="13">
        <f>IF(OR(L24="LOW",M24="LOW"),"LOW",IF(OR(L24="WATCH",M24="WATCH"),"WATCH",IF(OR(L24="GOOD",M24="GOOD"),"GOOD","")))</f>
        <v/>
      </c>
      <c r="O24" s="13">
        <f>IF(COUNT(D24:F24,H24:J24)&lt;6,"",ROUND(AVERAGE(D24,E24,F24,(11-H24),I24,J24),1))</f>
        <v/>
      </c>
      <c r="P24" s="13">
        <f>IF($A24="","",IF(COUNTIFS(Session!$L$3:$L$202,Q24)=0,"⚠ no Session row","ok"))</f>
        <v/>
      </c>
      <c r="Q24" s="14">
        <f>IF($A24="","",$A24*10+IF($B24="",1,$B24))</f>
        <v/>
      </c>
    </row>
    <row r="25">
      <c r="A25" s="11" t="n"/>
      <c r="G25" s="12" t="n"/>
      <c r="K25" s="12" t="n"/>
      <c r="L25" s="13">
        <f>IF($A25="","",IF(COUNT(D25:F25)&lt;3,"",IF(MIN(D25:F25)&lt;=low_max,"LOW",IF(MIN(D25:F25)&lt;=watch_max,"WATCH","GOOD"))))</f>
        <v/>
      </c>
      <c r="M25" s="13">
        <f>IF($A25="","",IF(COUNT(H25:J25)&lt;3,"",IF(MIN((11-H25),I25,J25)&lt;=low_max,"LOW",IF(MIN((11-H25),I25,J25)&lt;=watch_max,"WATCH","GOOD"))))</f>
        <v/>
      </c>
      <c r="N25" s="13">
        <f>IF(OR(L25="LOW",M25="LOW"),"LOW",IF(OR(L25="WATCH",M25="WATCH"),"WATCH",IF(OR(L25="GOOD",M25="GOOD"),"GOOD","")))</f>
        <v/>
      </c>
      <c r="O25" s="13">
        <f>IF(COUNT(D25:F25,H25:J25)&lt;6,"",ROUND(AVERAGE(D25,E25,F25,(11-H25),I25,J25),1))</f>
        <v/>
      </c>
      <c r="P25" s="13">
        <f>IF($A25="","",IF(COUNTIFS(Session!$L$3:$L$202,Q25)=0,"⚠ no Session row","ok"))</f>
        <v/>
      </c>
      <c r="Q25" s="14">
        <f>IF($A25="","",$A25*10+IF($B25="",1,$B25))</f>
        <v/>
      </c>
    </row>
    <row r="26">
      <c r="A26" s="11" t="n"/>
      <c r="G26" s="12" t="n"/>
      <c r="K26" s="12" t="n"/>
      <c r="L26" s="13">
        <f>IF($A26="","",IF(COUNT(D26:F26)&lt;3,"",IF(MIN(D26:F26)&lt;=low_max,"LOW",IF(MIN(D26:F26)&lt;=watch_max,"WATCH","GOOD"))))</f>
        <v/>
      </c>
      <c r="M26" s="13">
        <f>IF($A26="","",IF(COUNT(H26:J26)&lt;3,"",IF(MIN((11-H26),I26,J26)&lt;=low_max,"LOW",IF(MIN((11-H26),I26,J26)&lt;=watch_max,"WATCH","GOOD"))))</f>
        <v/>
      </c>
      <c r="N26" s="13">
        <f>IF(OR(L26="LOW",M26="LOW"),"LOW",IF(OR(L26="WATCH",M26="WATCH"),"WATCH",IF(OR(L26="GOOD",M26="GOOD"),"GOOD","")))</f>
        <v/>
      </c>
      <c r="O26" s="13">
        <f>IF(COUNT(D26:F26,H26:J26)&lt;6,"",ROUND(AVERAGE(D26,E26,F26,(11-H26),I26,J26),1))</f>
        <v/>
      </c>
      <c r="P26" s="13">
        <f>IF($A26="","",IF(COUNTIFS(Session!$L$3:$L$202,Q26)=0,"⚠ no Session row","ok"))</f>
        <v/>
      </c>
      <c r="Q26" s="14">
        <f>IF($A26="","",$A26*10+IF($B26="",1,$B26))</f>
        <v/>
      </c>
    </row>
    <row r="27">
      <c r="A27" s="11" t="n"/>
      <c r="G27" s="12" t="n"/>
      <c r="K27" s="12" t="n"/>
      <c r="L27" s="13">
        <f>IF($A27="","",IF(COUNT(D27:F27)&lt;3,"",IF(MIN(D27:F27)&lt;=low_max,"LOW",IF(MIN(D27:F27)&lt;=watch_max,"WATCH","GOOD"))))</f>
        <v/>
      </c>
      <c r="M27" s="13">
        <f>IF($A27="","",IF(COUNT(H27:J27)&lt;3,"",IF(MIN((11-H27),I27,J27)&lt;=low_max,"LOW",IF(MIN((11-H27),I27,J27)&lt;=watch_max,"WATCH","GOOD"))))</f>
        <v/>
      </c>
      <c r="N27" s="13">
        <f>IF(OR(L27="LOW",M27="LOW"),"LOW",IF(OR(L27="WATCH",M27="WATCH"),"WATCH",IF(OR(L27="GOOD",M27="GOOD"),"GOOD","")))</f>
        <v/>
      </c>
      <c r="O27" s="13">
        <f>IF(COUNT(D27:F27,H27:J27)&lt;6,"",ROUND(AVERAGE(D27,E27,F27,(11-H27),I27,J27),1))</f>
        <v/>
      </c>
      <c r="P27" s="13">
        <f>IF($A27="","",IF(COUNTIFS(Session!$L$3:$L$202,Q27)=0,"⚠ no Session row","ok"))</f>
        <v/>
      </c>
      <c r="Q27" s="14">
        <f>IF($A27="","",$A27*10+IF($B27="",1,$B27))</f>
        <v/>
      </c>
    </row>
    <row r="28">
      <c r="A28" s="11" t="n"/>
      <c r="G28" s="12" t="n"/>
      <c r="K28" s="12" t="n"/>
      <c r="L28" s="13">
        <f>IF($A28="","",IF(COUNT(D28:F28)&lt;3,"",IF(MIN(D28:F28)&lt;=low_max,"LOW",IF(MIN(D28:F28)&lt;=watch_max,"WATCH","GOOD"))))</f>
        <v/>
      </c>
      <c r="M28" s="13">
        <f>IF($A28="","",IF(COUNT(H28:J28)&lt;3,"",IF(MIN((11-H28),I28,J28)&lt;=low_max,"LOW",IF(MIN((11-H28),I28,J28)&lt;=watch_max,"WATCH","GOOD"))))</f>
        <v/>
      </c>
      <c r="N28" s="13">
        <f>IF(OR(L28="LOW",M28="LOW"),"LOW",IF(OR(L28="WATCH",M28="WATCH"),"WATCH",IF(OR(L28="GOOD",M28="GOOD"),"GOOD","")))</f>
        <v/>
      </c>
      <c r="O28" s="13">
        <f>IF(COUNT(D28:F28,H28:J28)&lt;6,"",ROUND(AVERAGE(D28,E28,F28,(11-H28),I28,J28),1))</f>
        <v/>
      </c>
      <c r="P28" s="13">
        <f>IF($A28="","",IF(COUNTIFS(Session!$L$3:$L$202,Q28)=0,"⚠ no Session row","ok"))</f>
        <v/>
      </c>
      <c r="Q28" s="14">
        <f>IF($A28="","",$A28*10+IF($B28="",1,$B28))</f>
        <v/>
      </c>
    </row>
    <row r="29">
      <c r="A29" s="11" t="n"/>
      <c r="G29" s="12" t="n"/>
      <c r="K29" s="12" t="n"/>
      <c r="L29" s="13">
        <f>IF($A29="","",IF(COUNT(D29:F29)&lt;3,"",IF(MIN(D29:F29)&lt;=low_max,"LOW",IF(MIN(D29:F29)&lt;=watch_max,"WATCH","GOOD"))))</f>
        <v/>
      </c>
      <c r="M29" s="13">
        <f>IF($A29="","",IF(COUNT(H29:J29)&lt;3,"",IF(MIN((11-H29),I29,J29)&lt;=low_max,"LOW",IF(MIN((11-H29),I29,J29)&lt;=watch_max,"WATCH","GOOD"))))</f>
        <v/>
      </c>
      <c r="N29" s="13">
        <f>IF(OR(L29="LOW",M29="LOW"),"LOW",IF(OR(L29="WATCH",M29="WATCH"),"WATCH",IF(OR(L29="GOOD",M29="GOOD"),"GOOD","")))</f>
        <v/>
      </c>
      <c r="O29" s="13">
        <f>IF(COUNT(D29:F29,H29:J29)&lt;6,"",ROUND(AVERAGE(D29,E29,F29,(11-H29),I29,J29),1))</f>
        <v/>
      </c>
      <c r="P29" s="13">
        <f>IF($A29="","",IF(COUNTIFS(Session!$L$3:$L$202,Q29)=0,"⚠ no Session row","ok"))</f>
        <v/>
      </c>
      <c r="Q29" s="14">
        <f>IF($A29="","",$A29*10+IF($B29="",1,$B29))</f>
        <v/>
      </c>
    </row>
    <row r="30">
      <c r="A30" s="11" t="n"/>
      <c r="G30" s="12" t="n"/>
      <c r="K30" s="12" t="n"/>
      <c r="L30" s="13">
        <f>IF($A30="","",IF(COUNT(D30:F30)&lt;3,"",IF(MIN(D30:F30)&lt;=low_max,"LOW",IF(MIN(D30:F30)&lt;=watch_max,"WATCH","GOOD"))))</f>
        <v/>
      </c>
      <c r="M30" s="13">
        <f>IF($A30="","",IF(COUNT(H30:J30)&lt;3,"",IF(MIN((11-H30),I30,J30)&lt;=low_max,"LOW",IF(MIN((11-H30),I30,J30)&lt;=watch_max,"WATCH","GOOD"))))</f>
        <v/>
      </c>
      <c r="N30" s="13">
        <f>IF(OR(L30="LOW",M30="LOW"),"LOW",IF(OR(L30="WATCH",M30="WATCH"),"WATCH",IF(OR(L30="GOOD",M30="GOOD"),"GOOD","")))</f>
        <v/>
      </c>
      <c r="O30" s="13">
        <f>IF(COUNT(D30:F30,H30:J30)&lt;6,"",ROUND(AVERAGE(D30,E30,F30,(11-H30),I30,J30),1))</f>
        <v/>
      </c>
      <c r="P30" s="13">
        <f>IF($A30="","",IF(COUNTIFS(Session!$L$3:$L$202,Q30)=0,"⚠ no Session row","ok"))</f>
        <v/>
      </c>
      <c r="Q30" s="14">
        <f>IF($A30="","",$A30*10+IF($B30="",1,$B30))</f>
        <v/>
      </c>
    </row>
    <row r="31">
      <c r="A31" s="11" t="n"/>
      <c r="G31" s="12" t="n"/>
      <c r="K31" s="12" t="n"/>
      <c r="L31" s="13">
        <f>IF($A31="","",IF(COUNT(D31:F31)&lt;3,"",IF(MIN(D31:F31)&lt;=low_max,"LOW",IF(MIN(D31:F31)&lt;=watch_max,"WATCH","GOOD"))))</f>
        <v/>
      </c>
      <c r="M31" s="13">
        <f>IF($A31="","",IF(COUNT(H31:J31)&lt;3,"",IF(MIN((11-H31),I31,J31)&lt;=low_max,"LOW",IF(MIN((11-H31),I31,J31)&lt;=watch_max,"WATCH","GOOD"))))</f>
        <v/>
      </c>
      <c r="N31" s="13">
        <f>IF(OR(L31="LOW",M31="LOW"),"LOW",IF(OR(L31="WATCH",M31="WATCH"),"WATCH",IF(OR(L31="GOOD",M31="GOOD"),"GOOD","")))</f>
        <v/>
      </c>
      <c r="O31" s="13">
        <f>IF(COUNT(D31:F31,H31:J31)&lt;6,"",ROUND(AVERAGE(D31,E31,F31,(11-H31),I31,J31),1))</f>
        <v/>
      </c>
      <c r="P31" s="13">
        <f>IF($A31="","",IF(COUNTIFS(Session!$L$3:$L$202,Q31)=0,"⚠ no Session row","ok"))</f>
        <v/>
      </c>
      <c r="Q31" s="14">
        <f>IF($A31="","",$A31*10+IF($B31="",1,$B31))</f>
        <v/>
      </c>
    </row>
    <row r="32">
      <c r="A32" s="11" t="n"/>
      <c r="G32" s="12" t="n"/>
      <c r="K32" s="12" t="n"/>
      <c r="L32" s="13">
        <f>IF($A32="","",IF(COUNT(D32:F32)&lt;3,"",IF(MIN(D32:F32)&lt;=low_max,"LOW",IF(MIN(D32:F32)&lt;=watch_max,"WATCH","GOOD"))))</f>
        <v/>
      </c>
      <c r="M32" s="13">
        <f>IF($A32="","",IF(COUNT(H32:J32)&lt;3,"",IF(MIN((11-H32),I32,J32)&lt;=low_max,"LOW",IF(MIN((11-H32),I32,J32)&lt;=watch_max,"WATCH","GOOD"))))</f>
        <v/>
      </c>
      <c r="N32" s="13">
        <f>IF(OR(L32="LOW",M32="LOW"),"LOW",IF(OR(L32="WATCH",M32="WATCH"),"WATCH",IF(OR(L32="GOOD",M32="GOOD"),"GOOD","")))</f>
        <v/>
      </c>
      <c r="O32" s="13">
        <f>IF(COUNT(D32:F32,H32:J32)&lt;6,"",ROUND(AVERAGE(D32,E32,F32,(11-H32),I32,J32),1))</f>
        <v/>
      </c>
      <c r="P32" s="13">
        <f>IF($A32="","",IF(COUNTIFS(Session!$L$3:$L$202,Q32)=0,"⚠ no Session row","ok"))</f>
        <v/>
      </c>
      <c r="Q32" s="14">
        <f>IF($A32="","",$A32*10+IF($B32="",1,$B32))</f>
        <v/>
      </c>
    </row>
    <row r="33">
      <c r="A33" s="11" t="n"/>
      <c r="G33" s="12" t="n"/>
      <c r="K33" s="12" t="n"/>
      <c r="L33" s="13">
        <f>IF($A33="","",IF(COUNT(D33:F33)&lt;3,"",IF(MIN(D33:F33)&lt;=low_max,"LOW",IF(MIN(D33:F33)&lt;=watch_max,"WATCH","GOOD"))))</f>
        <v/>
      </c>
      <c r="M33" s="13">
        <f>IF($A33="","",IF(COUNT(H33:J33)&lt;3,"",IF(MIN((11-H33),I33,J33)&lt;=low_max,"LOW",IF(MIN((11-H33),I33,J33)&lt;=watch_max,"WATCH","GOOD"))))</f>
        <v/>
      </c>
      <c r="N33" s="13">
        <f>IF(OR(L33="LOW",M33="LOW"),"LOW",IF(OR(L33="WATCH",M33="WATCH"),"WATCH",IF(OR(L33="GOOD",M33="GOOD"),"GOOD","")))</f>
        <v/>
      </c>
      <c r="O33" s="13">
        <f>IF(COUNT(D33:F33,H33:J33)&lt;6,"",ROUND(AVERAGE(D33,E33,F33,(11-H33),I33,J33),1))</f>
        <v/>
      </c>
      <c r="P33" s="13">
        <f>IF($A33="","",IF(COUNTIFS(Session!$L$3:$L$202,Q33)=0,"⚠ no Session row","ok"))</f>
        <v/>
      </c>
      <c r="Q33" s="14">
        <f>IF($A33="","",$A33*10+IF($B33="",1,$B33))</f>
        <v/>
      </c>
    </row>
    <row r="34">
      <c r="A34" s="11" t="n"/>
      <c r="G34" s="12" t="n"/>
      <c r="K34" s="12" t="n"/>
      <c r="L34" s="13">
        <f>IF($A34="","",IF(COUNT(D34:F34)&lt;3,"",IF(MIN(D34:F34)&lt;=low_max,"LOW",IF(MIN(D34:F34)&lt;=watch_max,"WATCH","GOOD"))))</f>
        <v/>
      </c>
      <c r="M34" s="13">
        <f>IF($A34="","",IF(COUNT(H34:J34)&lt;3,"",IF(MIN((11-H34),I34,J34)&lt;=low_max,"LOW",IF(MIN((11-H34),I34,J34)&lt;=watch_max,"WATCH","GOOD"))))</f>
        <v/>
      </c>
      <c r="N34" s="13">
        <f>IF(OR(L34="LOW",M34="LOW"),"LOW",IF(OR(L34="WATCH",M34="WATCH"),"WATCH",IF(OR(L34="GOOD",M34="GOOD"),"GOOD","")))</f>
        <v/>
      </c>
      <c r="O34" s="13">
        <f>IF(COUNT(D34:F34,H34:J34)&lt;6,"",ROUND(AVERAGE(D34,E34,F34,(11-H34),I34,J34),1))</f>
        <v/>
      </c>
      <c r="P34" s="13">
        <f>IF($A34="","",IF(COUNTIFS(Session!$L$3:$L$202,Q34)=0,"⚠ no Session row","ok"))</f>
        <v/>
      </c>
      <c r="Q34" s="14">
        <f>IF($A34="","",$A34*10+IF($B34="",1,$B34))</f>
        <v/>
      </c>
    </row>
    <row r="35">
      <c r="A35" s="11" t="n"/>
      <c r="G35" s="12" t="n"/>
      <c r="K35" s="12" t="n"/>
      <c r="L35" s="13">
        <f>IF($A35="","",IF(COUNT(D35:F35)&lt;3,"",IF(MIN(D35:F35)&lt;=low_max,"LOW",IF(MIN(D35:F35)&lt;=watch_max,"WATCH","GOOD"))))</f>
        <v/>
      </c>
      <c r="M35" s="13">
        <f>IF($A35="","",IF(COUNT(H35:J35)&lt;3,"",IF(MIN((11-H35),I35,J35)&lt;=low_max,"LOW",IF(MIN((11-H35),I35,J35)&lt;=watch_max,"WATCH","GOOD"))))</f>
        <v/>
      </c>
      <c r="N35" s="13">
        <f>IF(OR(L35="LOW",M35="LOW"),"LOW",IF(OR(L35="WATCH",M35="WATCH"),"WATCH",IF(OR(L35="GOOD",M35="GOOD"),"GOOD","")))</f>
        <v/>
      </c>
      <c r="O35" s="13">
        <f>IF(COUNT(D35:F35,H35:J35)&lt;6,"",ROUND(AVERAGE(D35,E35,F35,(11-H35),I35,J35),1))</f>
        <v/>
      </c>
      <c r="P35" s="13">
        <f>IF($A35="","",IF(COUNTIFS(Session!$L$3:$L$202,Q35)=0,"⚠ no Session row","ok"))</f>
        <v/>
      </c>
      <c r="Q35" s="14">
        <f>IF($A35="","",$A35*10+IF($B35="",1,$B35))</f>
        <v/>
      </c>
    </row>
    <row r="36">
      <c r="A36" s="11" t="n"/>
      <c r="G36" s="12" t="n"/>
      <c r="K36" s="12" t="n"/>
      <c r="L36" s="13">
        <f>IF($A36="","",IF(COUNT(D36:F36)&lt;3,"",IF(MIN(D36:F36)&lt;=low_max,"LOW",IF(MIN(D36:F36)&lt;=watch_max,"WATCH","GOOD"))))</f>
        <v/>
      </c>
      <c r="M36" s="13">
        <f>IF($A36="","",IF(COUNT(H36:J36)&lt;3,"",IF(MIN((11-H36),I36,J36)&lt;=low_max,"LOW",IF(MIN((11-H36),I36,J36)&lt;=watch_max,"WATCH","GOOD"))))</f>
        <v/>
      </c>
      <c r="N36" s="13">
        <f>IF(OR(L36="LOW",M36="LOW"),"LOW",IF(OR(L36="WATCH",M36="WATCH"),"WATCH",IF(OR(L36="GOOD",M36="GOOD"),"GOOD","")))</f>
        <v/>
      </c>
      <c r="O36" s="13">
        <f>IF(COUNT(D36:F36,H36:J36)&lt;6,"",ROUND(AVERAGE(D36,E36,F36,(11-H36),I36,J36),1))</f>
        <v/>
      </c>
      <c r="P36" s="13">
        <f>IF($A36="","",IF(COUNTIFS(Session!$L$3:$L$202,Q36)=0,"⚠ no Session row","ok"))</f>
        <v/>
      </c>
      <c r="Q36" s="14">
        <f>IF($A36="","",$A36*10+IF($B36="",1,$B36))</f>
        <v/>
      </c>
    </row>
    <row r="37">
      <c r="A37" s="11" t="n"/>
      <c r="G37" s="12" t="n"/>
      <c r="K37" s="12" t="n"/>
      <c r="L37" s="13">
        <f>IF($A37="","",IF(COUNT(D37:F37)&lt;3,"",IF(MIN(D37:F37)&lt;=low_max,"LOW",IF(MIN(D37:F37)&lt;=watch_max,"WATCH","GOOD"))))</f>
        <v/>
      </c>
      <c r="M37" s="13">
        <f>IF($A37="","",IF(COUNT(H37:J37)&lt;3,"",IF(MIN((11-H37),I37,J37)&lt;=low_max,"LOW",IF(MIN((11-H37),I37,J37)&lt;=watch_max,"WATCH","GOOD"))))</f>
        <v/>
      </c>
      <c r="N37" s="13">
        <f>IF(OR(L37="LOW",M37="LOW"),"LOW",IF(OR(L37="WATCH",M37="WATCH"),"WATCH",IF(OR(L37="GOOD",M37="GOOD"),"GOOD","")))</f>
        <v/>
      </c>
      <c r="O37" s="13">
        <f>IF(COUNT(D37:F37,H37:J37)&lt;6,"",ROUND(AVERAGE(D37,E37,F37,(11-H37),I37,J37),1))</f>
        <v/>
      </c>
      <c r="P37" s="13">
        <f>IF($A37="","",IF(COUNTIFS(Session!$L$3:$L$202,Q37)=0,"⚠ no Session row","ok"))</f>
        <v/>
      </c>
      <c r="Q37" s="14">
        <f>IF($A37="","",$A37*10+IF($B37="",1,$B37))</f>
        <v/>
      </c>
    </row>
    <row r="38">
      <c r="A38" s="11" t="n"/>
      <c r="G38" s="12" t="n"/>
      <c r="K38" s="12" t="n"/>
      <c r="L38" s="13">
        <f>IF($A38="","",IF(COUNT(D38:F38)&lt;3,"",IF(MIN(D38:F38)&lt;=low_max,"LOW",IF(MIN(D38:F38)&lt;=watch_max,"WATCH","GOOD"))))</f>
        <v/>
      </c>
      <c r="M38" s="13">
        <f>IF($A38="","",IF(COUNT(H38:J38)&lt;3,"",IF(MIN((11-H38),I38,J38)&lt;=low_max,"LOW",IF(MIN((11-H38),I38,J38)&lt;=watch_max,"WATCH","GOOD"))))</f>
        <v/>
      </c>
      <c r="N38" s="13">
        <f>IF(OR(L38="LOW",M38="LOW"),"LOW",IF(OR(L38="WATCH",M38="WATCH"),"WATCH",IF(OR(L38="GOOD",M38="GOOD"),"GOOD","")))</f>
        <v/>
      </c>
      <c r="O38" s="13">
        <f>IF(COUNT(D38:F38,H38:J38)&lt;6,"",ROUND(AVERAGE(D38,E38,F38,(11-H38),I38,J38),1))</f>
        <v/>
      </c>
      <c r="P38" s="13">
        <f>IF($A38="","",IF(COUNTIFS(Session!$L$3:$L$202,Q38)=0,"⚠ no Session row","ok"))</f>
        <v/>
      </c>
      <c r="Q38" s="14">
        <f>IF($A38="","",$A38*10+IF($B38="",1,$B38))</f>
        <v/>
      </c>
    </row>
    <row r="39">
      <c r="A39" s="11" t="n"/>
      <c r="G39" s="12" t="n"/>
      <c r="K39" s="12" t="n"/>
      <c r="L39" s="13">
        <f>IF($A39="","",IF(COUNT(D39:F39)&lt;3,"",IF(MIN(D39:F39)&lt;=low_max,"LOW",IF(MIN(D39:F39)&lt;=watch_max,"WATCH","GOOD"))))</f>
        <v/>
      </c>
      <c r="M39" s="13">
        <f>IF($A39="","",IF(COUNT(H39:J39)&lt;3,"",IF(MIN((11-H39),I39,J39)&lt;=low_max,"LOW",IF(MIN((11-H39),I39,J39)&lt;=watch_max,"WATCH","GOOD"))))</f>
        <v/>
      </c>
      <c r="N39" s="13">
        <f>IF(OR(L39="LOW",M39="LOW"),"LOW",IF(OR(L39="WATCH",M39="WATCH"),"WATCH",IF(OR(L39="GOOD",M39="GOOD"),"GOOD","")))</f>
        <v/>
      </c>
      <c r="O39" s="13">
        <f>IF(COUNT(D39:F39,H39:J39)&lt;6,"",ROUND(AVERAGE(D39,E39,F39,(11-H39),I39,J39),1))</f>
        <v/>
      </c>
      <c r="P39" s="13">
        <f>IF($A39="","",IF(COUNTIFS(Session!$L$3:$L$202,Q39)=0,"⚠ no Session row","ok"))</f>
        <v/>
      </c>
      <c r="Q39" s="14">
        <f>IF($A39="","",$A39*10+IF($B39="",1,$B39))</f>
        <v/>
      </c>
    </row>
    <row r="40">
      <c r="A40" s="11" t="n"/>
      <c r="G40" s="12" t="n"/>
      <c r="K40" s="12" t="n"/>
      <c r="L40" s="13">
        <f>IF($A40="","",IF(COUNT(D40:F40)&lt;3,"",IF(MIN(D40:F40)&lt;=low_max,"LOW",IF(MIN(D40:F40)&lt;=watch_max,"WATCH","GOOD"))))</f>
        <v/>
      </c>
      <c r="M40" s="13">
        <f>IF($A40="","",IF(COUNT(H40:J40)&lt;3,"",IF(MIN((11-H40),I40,J40)&lt;=low_max,"LOW",IF(MIN((11-H40),I40,J40)&lt;=watch_max,"WATCH","GOOD"))))</f>
        <v/>
      </c>
      <c r="N40" s="13">
        <f>IF(OR(L40="LOW",M40="LOW"),"LOW",IF(OR(L40="WATCH",M40="WATCH"),"WATCH",IF(OR(L40="GOOD",M40="GOOD"),"GOOD","")))</f>
        <v/>
      </c>
      <c r="O40" s="13">
        <f>IF(COUNT(D40:F40,H40:J40)&lt;6,"",ROUND(AVERAGE(D40,E40,F40,(11-H40),I40,J40),1))</f>
        <v/>
      </c>
      <c r="P40" s="13">
        <f>IF($A40="","",IF(COUNTIFS(Session!$L$3:$L$202,Q40)=0,"⚠ no Session row","ok"))</f>
        <v/>
      </c>
      <c r="Q40" s="14">
        <f>IF($A40="","",$A40*10+IF($B40="",1,$B40))</f>
        <v/>
      </c>
    </row>
    <row r="41">
      <c r="A41" s="11" t="n"/>
      <c r="G41" s="12" t="n"/>
      <c r="K41" s="12" t="n"/>
      <c r="L41" s="13">
        <f>IF($A41="","",IF(COUNT(D41:F41)&lt;3,"",IF(MIN(D41:F41)&lt;=low_max,"LOW",IF(MIN(D41:F41)&lt;=watch_max,"WATCH","GOOD"))))</f>
        <v/>
      </c>
      <c r="M41" s="13">
        <f>IF($A41="","",IF(COUNT(H41:J41)&lt;3,"",IF(MIN((11-H41),I41,J41)&lt;=low_max,"LOW",IF(MIN((11-H41),I41,J41)&lt;=watch_max,"WATCH","GOOD"))))</f>
        <v/>
      </c>
      <c r="N41" s="13">
        <f>IF(OR(L41="LOW",M41="LOW"),"LOW",IF(OR(L41="WATCH",M41="WATCH"),"WATCH",IF(OR(L41="GOOD",M41="GOOD"),"GOOD","")))</f>
        <v/>
      </c>
      <c r="O41" s="13">
        <f>IF(COUNT(D41:F41,H41:J41)&lt;6,"",ROUND(AVERAGE(D41,E41,F41,(11-H41),I41,J41),1))</f>
        <v/>
      </c>
      <c r="P41" s="13">
        <f>IF($A41="","",IF(COUNTIFS(Session!$L$3:$L$202,Q41)=0,"⚠ no Session row","ok"))</f>
        <v/>
      </c>
      <c r="Q41" s="14">
        <f>IF($A41="","",$A41*10+IF($B41="",1,$B41))</f>
        <v/>
      </c>
    </row>
    <row r="42">
      <c r="A42" s="11" t="n"/>
      <c r="G42" s="12" t="n"/>
      <c r="K42" s="12" t="n"/>
      <c r="L42" s="13">
        <f>IF($A42="","",IF(COUNT(D42:F42)&lt;3,"",IF(MIN(D42:F42)&lt;=low_max,"LOW",IF(MIN(D42:F42)&lt;=watch_max,"WATCH","GOOD"))))</f>
        <v/>
      </c>
      <c r="M42" s="13">
        <f>IF($A42="","",IF(COUNT(H42:J42)&lt;3,"",IF(MIN((11-H42),I42,J42)&lt;=low_max,"LOW",IF(MIN((11-H42),I42,J42)&lt;=watch_max,"WATCH","GOOD"))))</f>
        <v/>
      </c>
      <c r="N42" s="13">
        <f>IF(OR(L42="LOW",M42="LOW"),"LOW",IF(OR(L42="WATCH",M42="WATCH"),"WATCH",IF(OR(L42="GOOD",M42="GOOD"),"GOOD","")))</f>
        <v/>
      </c>
      <c r="O42" s="13">
        <f>IF(COUNT(D42:F42,H42:J42)&lt;6,"",ROUND(AVERAGE(D42,E42,F42,(11-H42),I42,J42),1))</f>
        <v/>
      </c>
      <c r="P42" s="13">
        <f>IF($A42="","",IF(COUNTIFS(Session!$L$3:$L$202,Q42)=0,"⚠ no Session row","ok"))</f>
        <v/>
      </c>
      <c r="Q42" s="14">
        <f>IF($A42="","",$A42*10+IF($B42="",1,$B42))</f>
        <v/>
      </c>
    </row>
    <row r="43">
      <c r="A43" s="11" t="n"/>
      <c r="G43" s="12" t="n"/>
      <c r="K43" s="12" t="n"/>
      <c r="L43" s="13">
        <f>IF($A43="","",IF(COUNT(D43:F43)&lt;3,"",IF(MIN(D43:F43)&lt;=low_max,"LOW",IF(MIN(D43:F43)&lt;=watch_max,"WATCH","GOOD"))))</f>
        <v/>
      </c>
      <c r="M43" s="13">
        <f>IF($A43="","",IF(COUNT(H43:J43)&lt;3,"",IF(MIN((11-H43),I43,J43)&lt;=low_max,"LOW",IF(MIN((11-H43),I43,J43)&lt;=watch_max,"WATCH","GOOD"))))</f>
        <v/>
      </c>
      <c r="N43" s="13">
        <f>IF(OR(L43="LOW",M43="LOW"),"LOW",IF(OR(L43="WATCH",M43="WATCH"),"WATCH",IF(OR(L43="GOOD",M43="GOOD"),"GOOD","")))</f>
        <v/>
      </c>
      <c r="O43" s="13">
        <f>IF(COUNT(D43:F43,H43:J43)&lt;6,"",ROUND(AVERAGE(D43,E43,F43,(11-H43),I43,J43),1))</f>
        <v/>
      </c>
      <c r="P43" s="13">
        <f>IF($A43="","",IF(COUNTIFS(Session!$L$3:$L$202,Q43)=0,"⚠ no Session row","ok"))</f>
        <v/>
      </c>
      <c r="Q43" s="14">
        <f>IF($A43="","",$A43*10+IF($B43="",1,$B43))</f>
        <v/>
      </c>
    </row>
    <row r="44">
      <c r="A44" s="11" t="n"/>
      <c r="G44" s="12" t="n"/>
      <c r="K44" s="12" t="n"/>
      <c r="L44" s="13">
        <f>IF($A44="","",IF(COUNT(D44:F44)&lt;3,"",IF(MIN(D44:F44)&lt;=low_max,"LOW",IF(MIN(D44:F44)&lt;=watch_max,"WATCH","GOOD"))))</f>
        <v/>
      </c>
      <c r="M44" s="13">
        <f>IF($A44="","",IF(COUNT(H44:J44)&lt;3,"",IF(MIN((11-H44),I44,J44)&lt;=low_max,"LOW",IF(MIN((11-H44),I44,J44)&lt;=watch_max,"WATCH","GOOD"))))</f>
        <v/>
      </c>
      <c r="N44" s="13">
        <f>IF(OR(L44="LOW",M44="LOW"),"LOW",IF(OR(L44="WATCH",M44="WATCH"),"WATCH",IF(OR(L44="GOOD",M44="GOOD"),"GOOD","")))</f>
        <v/>
      </c>
      <c r="O44" s="13">
        <f>IF(COUNT(D44:F44,H44:J44)&lt;6,"",ROUND(AVERAGE(D44,E44,F44,(11-H44),I44,J44),1))</f>
        <v/>
      </c>
      <c r="P44" s="13">
        <f>IF($A44="","",IF(COUNTIFS(Session!$L$3:$L$202,Q44)=0,"⚠ no Session row","ok"))</f>
        <v/>
      </c>
      <c r="Q44" s="14">
        <f>IF($A44="","",$A44*10+IF($B44="",1,$B44))</f>
        <v/>
      </c>
    </row>
    <row r="45">
      <c r="A45" s="11" t="n"/>
      <c r="G45" s="12" t="n"/>
      <c r="K45" s="12" t="n"/>
      <c r="L45" s="13">
        <f>IF($A45="","",IF(COUNT(D45:F45)&lt;3,"",IF(MIN(D45:F45)&lt;=low_max,"LOW",IF(MIN(D45:F45)&lt;=watch_max,"WATCH","GOOD"))))</f>
        <v/>
      </c>
      <c r="M45" s="13">
        <f>IF($A45="","",IF(COUNT(H45:J45)&lt;3,"",IF(MIN((11-H45),I45,J45)&lt;=low_max,"LOW",IF(MIN((11-H45),I45,J45)&lt;=watch_max,"WATCH","GOOD"))))</f>
        <v/>
      </c>
      <c r="N45" s="13">
        <f>IF(OR(L45="LOW",M45="LOW"),"LOW",IF(OR(L45="WATCH",M45="WATCH"),"WATCH",IF(OR(L45="GOOD",M45="GOOD"),"GOOD","")))</f>
        <v/>
      </c>
      <c r="O45" s="13">
        <f>IF(COUNT(D45:F45,H45:J45)&lt;6,"",ROUND(AVERAGE(D45,E45,F45,(11-H45),I45,J45),1))</f>
        <v/>
      </c>
      <c r="P45" s="13">
        <f>IF($A45="","",IF(COUNTIFS(Session!$L$3:$L$202,Q45)=0,"⚠ no Session row","ok"))</f>
        <v/>
      </c>
      <c r="Q45" s="14">
        <f>IF($A45="","",$A45*10+IF($B45="",1,$B45))</f>
        <v/>
      </c>
    </row>
    <row r="46">
      <c r="A46" s="11" t="n"/>
      <c r="G46" s="12" t="n"/>
      <c r="K46" s="12" t="n"/>
      <c r="L46" s="13">
        <f>IF($A46="","",IF(COUNT(D46:F46)&lt;3,"",IF(MIN(D46:F46)&lt;=low_max,"LOW",IF(MIN(D46:F46)&lt;=watch_max,"WATCH","GOOD"))))</f>
        <v/>
      </c>
      <c r="M46" s="13">
        <f>IF($A46="","",IF(COUNT(H46:J46)&lt;3,"",IF(MIN((11-H46),I46,J46)&lt;=low_max,"LOW",IF(MIN((11-H46),I46,J46)&lt;=watch_max,"WATCH","GOOD"))))</f>
        <v/>
      </c>
      <c r="N46" s="13">
        <f>IF(OR(L46="LOW",M46="LOW"),"LOW",IF(OR(L46="WATCH",M46="WATCH"),"WATCH",IF(OR(L46="GOOD",M46="GOOD"),"GOOD","")))</f>
        <v/>
      </c>
      <c r="O46" s="13">
        <f>IF(COUNT(D46:F46,H46:J46)&lt;6,"",ROUND(AVERAGE(D46,E46,F46,(11-H46),I46,J46),1))</f>
        <v/>
      </c>
      <c r="P46" s="13">
        <f>IF($A46="","",IF(COUNTIFS(Session!$L$3:$L$202,Q46)=0,"⚠ no Session row","ok"))</f>
        <v/>
      </c>
      <c r="Q46" s="14">
        <f>IF($A46="","",$A46*10+IF($B46="",1,$B46))</f>
        <v/>
      </c>
    </row>
    <row r="47">
      <c r="A47" s="11" t="n"/>
      <c r="G47" s="12" t="n"/>
      <c r="K47" s="12" t="n"/>
      <c r="L47" s="13">
        <f>IF($A47="","",IF(COUNT(D47:F47)&lt;3,"",IF(MIN(D47:F47)&lt;=low_max,"LOW",IF(MIN(D47:F47)&lt;=watch_max,"WATCH","GOOD"))))</f>
        <v/>
      </c>
      <c r="M47" s="13">
        <f>IF($A47="","",IF(COUNT(H47:J47)&lt;3,"",IF(MIN((11-H47),I47,J47)&lt;=low_max,"LOW",IF(MIN((11-H47),I47,J47)&lt;=watch_max,"WATCH","GOOD"))))</f>
        <v/>
      </c>
      <c r="N47" s="13">
        <f>IF(OR(L47="LOW",M47="LOW"),"LOW",IF(OR(L47="WATCH",M47="WATCH"),"WATCH",IF(OR(L47="GOOD",M47="GOOD"),"GOOD","")))</f>
        <v/>
      </c>
      <c r="O47" s="13">
        <f>IF(COUNT(D47:F47,H47:J47)&lt;6,"",ROUND(AVERAGE(D47,E47,F47,(11-H47),I47,J47),1))</f>
        <v/>
      </c>
      <c r="P47" s="13">
        <f>IF($A47="","",IF(COUNTIFS(Session!$L$3:$L$202,Q47)=0,"⚠ no Session row","ok"))</f>
        <v/>
      </c>
      <c r="Q47" s="14">
        <f>IF($A47="","",$A47*10+IF($B47="",1,$B47))</f>
        <v/>
      </c>
    </row>
    <row r="48">
      <c r="A48" s="11" t="n"/>
      <c r="G48" s="12" t="n"/>
      <c r="K48" s="12" t="n"/>
      <c r="L48" s="13">
        <f>IF($A48="","",IF(COUNT(D48:F48)&lt;3,"",IF(MIN(D48:F48)&lt;=low_max,"LOW",IF(MIN(D48:F48)&lt;=watch_max,"WATCH","GOOD"))))</f>
        <v/>
      </c>
      <c r="M48" s="13">
        <f>IF($A48="","",IF(COUNT(H48:J48)&lt;3,"",IF(MIN((11-H48),I48,J48)&lt;=low_max,"LOW",IF(MIN((11-H48),I48,J48)&lt;=watch_max,"WATCH","GOOD"))))</f>
        <v/>
      </c>
      <c r="N48" s="13">
        <f>IF(OR(L48="LOW",M48="LOW"),"LOW",IF(OR(L48="WATCH",M48="WATCH"),"WATCH",IF(OR(L48="GOOD",M48="GOOD"),"GOOD","")))</f>
        <v/>
      </c>
      <c r="O48" s="13">
        <f>IF(COUNT(D48:F48,H48:J48)&lt;6,"",ROUND(AVERAGE(D48,E48,F48,(11-H48),I48,J48),1))</f>
        <v/>
      </c>
      <c r="P48" s="13">
        <f>IF($A48="","",IF(COUNTIFS(Session!$L$3:$L$202,Q48)=0,"⚠ no Session row","ok"))</f>
        <v/>
      </c>
      <c r="Q48" s="14">
        <f>IF($A48="","",$A48*10+IF($B48="",1,$B48))</f>
        <v/>
      </c>
    </row>
    <row r="49">
      <c r="A49" s="11" t="n"/>
      <c r="G49" s="12" t="n"/>
      <c r="K49" s="12" t="n"/>
      <c r="L49" s="13">
        <f>IF($A49="","",IF(COUNT(D49:F49)&lt;3,"",IF(MIN(D49:F49)&lt;=low_max,"LOW",IF(MIN(D49:F49)&lt;=watch_max,"WATCH","GOOD"))))</f>
        <v/>
      </c>
      <c r="M49" s="13">
        <f>IF($A49="","",IF(COUNT(H49:J49)&lt;3,"",IF(MIN((11-H49),I49,J49)&lt;=low_max,"LOW",IF(MIN((11-H49),I49,J49)&lt;=watch_max,"WATCH","GOOD"))))</f>
        <v/>
      </c>
      <c r="N49" s="13">
        <f>IF(OR(L49="LOW",M49="LOW"),"LOW",IF(OR(L49="WATCH",M49="WATCH"),"WATCH",IF(OR(L49="GOOD",M49="GOOD"),"GOOD","")))</f>
        <v/>
      </c>
      <c r="O49" s="13">
        <f>IF(COUNT(D49:F49,H49:J49)&lt;6,"",ROUND(AVERAGE(D49,E49,F49,(11-H49),I49,J49),1))</f>
        <v/>
      </c>
      <c r="P49" s="13">
        <f>IF($A49="","",IF(COUNTIFS(Session!$L$3:$L$202,Q49)=0,"⚠ no Session row","ok"))</f>
        <v/>
      </c>
      <c r="Q49" s="14">
        <f>IF($A49="","",$A49*10+IF($B49="",1,$B49))</f>
        <v/>
      </c>
    </row>
    <row r="50">
      <c r="A50" s="11" t="n"/>
      <c r="G50" s="12" t="n"/>
      <c r="K50" s="12" t="n"/>
      <c r="L50" s="13">
        <f>IF($A50="","",IF(COUNT(D50:F50)&lt;3,"",IF(MIN(D50:F50)&lt;=low_max,"LOW",IF(MIN(D50:F50)&lt;=watch_max,"WATCH","GOOD"))))</f>
        <v/>
      </c>
      <c r="M50" s="13">
        <f>IF($A50="","",IF(COUNT(H50:J50)&lt;3,"",IF(MIN((11-H50),I50,J50)&lt;=low_max,"LOW",IF(MIN((11-H50),I50,J50)&lt;=watch_max,"WATCH","GOOD"))))</f>
        <v/>
      </c>
      <c r="N50" s="13">
        <f>IF(OR(L50="LOW",M50="LOW"),"LOW",IF(OR(L50="WATCH",M50="WATCH"),"WATCH",IF(OR(L50="GOOD",M50="GOOD"),"GOOD","")))</f>
        <v/>
      </c>
      <c r="O50" s="13">
        <f>IF(COUNT(D50:F50,H50:J50)&lt;6,"",ROUND(AVERAGE(D50,E50,F50,(11-H50),I50,J50),1))</f>
        <v/>
      </c>
      <c r="P50" s="13">
        <f>IF($A50="","",IF(COUNTIFS(Session!$L$3:$L$202,Q50)=0,"⚠ no Session row","ok"))</f>
        <v/>
      </c>
      <c r="Q50" s="14">
        <f>IF($A50="","",$A50*10+IF($B50="",1,$B50))</f>
        <v/>
      </c>
    </row>
    <row r="51">
      <c r="A51" s="11" t="n"/>
      <c r="G51" s="12" t="n"/>
      <c r="K51" s="12" t="n"/>
      <c r="L51" s="13">
        <f>IF($A51="","",IF(COUNT(D51:F51)&lt;3,"",IF(MIN(D51:F51)&lt;=low_max,"LOW",IF(MIN(D51:F51)&lt;=watch_max,"WATCH","GOOD"))))</f>
        <v/>
      </c>
      <c r="M51" s="13">
        <f>IF($A51="","",IF(COUNT(H51:J51)&lt;3,"",IF(MIN((11-H51),I51,J51)&lt;=low_max,"LOW",IF(MIN((11-H51),I51,J51)&lt;=watch_max,"WATCH","GOOD"))))</f>
        <v/>
      </c>
      <c r="N51" s="13">
        <f>IF(OR(L51="LOW",M51="LOW"),"LOW",IF(OR(L51="WATCH",M51="WATCH"),"WATCH",IF(OR(L51="GOOD",M51="GOOD"),"GOOD","")))</f>
        <v/>
      </c>
      <c r="O51" s="13">
        <f>IF(COUNT(D51:F51,H51:J51)&lt;6,"",ROUND(AVERAGE(D51,E51,F51,(11-H51),I51,J51),1))</f>
        <v/>
      </c>
      <c r="P51" s="13">
        <f>IF($A51="","",IF(COUNTIFS(Session!$L$3:$L$202,Q51)=0,"⚠ no Session row","ok"))</f>
        <v/>
      </c>
      <c r="Q51" s="14">
        <f>IF($A51="","",$A51*10+IF($B51="",1,$B51))</f>
        <v/>
      </c>
    </row>
    <row r="52">
      <c r="A52" s="11" t="n"/>
      <c r="G52" s="12" t="n"/>
      <c r="K52" s="12" t="n"/>
      <c r="L52" s="13">
        <f>IF($A52="","",IF(COUNT(D52:F52)&lt;3,"",IF(MIN(D52:F52)&lt;=low_max,"LOW",IF(MIN(D52:F52)&lt;=watch_max,"WATCH","GOOD"))))</f>
        <v/>
      </c>
      <c r="M52" s="13">
        <f>IF($A52="","",IF(COUNT(H52:J52)&lt;3,"",IF(MIN((11-H52),I52,J52)&lt;=low_max,"LOW",IF(MIN((11-H52),I52,J52)&lt;=watch_max,"WATCH","GOOD"))))</f>
        <v/>
      </c>
      <c r="N52" s="13">
        <f>IF(OR(L52="LOW",M52="LOW"),"LOW",IF(OR(L52="WATCH",M52="WATCH"),"WATCH",IF(OR(L52="GOOD",M52="GOOD"),"GOOD","")))</f>
        <v/>
      </c>
      <c r="O52" s="13">
        <f>IF(COUNT(D52:F52,H52:J52)&lt;6,"",ROUND(AVERAGE(D52,E52,F52,(11-H52),I52,J52),1))</f>
        <v/>
      </c>
      <c r="P52" s="13">
        <f>IF($A52="","",IF(COUNTIFS(Session!$L$3:$L$202,Q52)=0,"⚠ no Session row","ok"))</f>
        <v/>
      </c>
      <c r="Q52" s="14">
        <f>IF($A52="","",$A52*10+IF($B52="",1,$B52))</f>
        <v/>
      </c>
    </row>
    <row r="53">
      <c r="A53" s="11" t="n"/>
      <c r="G53" s="12" t="n"/>
      <c r="K53" s="12" t="n"/>
      <c r="L53" s="13">
        <f>IF($A53="","",IF(COUNT(D53:F53)&lt;3,"",IF(MIN(D53:F53)&lt;=low_max,"LOW",IF(MIN(D53:F53)&lt;=watch_max,"WATCH","GOOD"))))</f>
        <v/>
      </c>
      <c r="M53" s="13">
        <f>IF($A53="","",IF(COUNT(H53:J53)&lt;3,"",IF(MIN((11-H53),I53,J53)&lt;=low_max,"LOW",IF(MIN((11-H53),I53,J53)&lt;=watch_max,"WATCH","GOOD"))))</f>
        <v/>
      </c>
      <c r="N53" s="13">
        <f>IF(OR(L53="LOW",M53="LOW"),"LOW",IF(OR(L53="WATCH",M53="WATCH"),"WATCH",IF(OR(L53="GOOD",M53="GOOD"),"GOOD","")))</f>
        <v/>
      </c>
      <c r="O53" s="13">
        <f>IF(COUNT(D53:F53,H53:J53)&lt;6,"",ROUND(AVERAGE(D53,E53,F53,(11-H53),I53,J53),1))</f>
        <v/>
      </c>
      <c r="P53" s="13">
        <f>IF($A53="","",IF(COUNTIFS(Session!$L$3:$L$202,Q53)=0,"⚠ no Session row","ok"))</f>
        <v/>
      </c>
      <c r="Q53" s="14">
        <f>IF($A53="","",$A53*10+IF($B53="",1,$B53))</f>
        <v/>
      </c>
    </row>
    <row r="54">
      <c r="A54" s="11" t="n"/>
      <c r="G54" s="12" t="n"/>
      <c r="K54" s="12" t="n"/>
      <c r="L54" s="13">
        <f>IF($A54="","",IF(COUNT(D54:F54)&lt;3,"",IF(MIN(D54:F54)&lt;=low_max,"LOW",IF(MIN(D54:F54)&lt;=watch_max,"WATCH","GOOD"))))</f>
        <v/>
      </c>
      <c r="M54" s="13">
        <f>IF($A54="","",IF(COUNT(H54:J54)&lt;3,"",IF(MIN((11-H54),I54,J54)&lt;=low_max,"LOW",IF(MIN((11-H54),I54,J54)&lt;=watch_max,"WATCH","GOOD"))))</f>
        <v/>
      </c>
      <c r="N54" s="13">
        <f>IF(OR(L54="LOW",M54="LOW"),"LOW",IF(OR(L54="WATCH",M54="WATCH"),"WATCH",IF(OR(L54="GOOD",M54="GOOD"),"GOOD","")))</f>
        <v/>
      </c>
      <c r="O54" s="13">
        <f>IF(COUNT(D54:F54,H54:J54)&lt;6,"",ROUND(AVERAGE(D54,E54,F54,(11-H54),I54,J54),1))</f>
        <v/>
      </c>
      <c r="P54" s="13">
        <f>IF($A54="","",IF(COUNTIFS(Session!$L$3:$L$202,Q54)=0,"⚠ no Session row","ok"))</f>
        <v/>
      </c>
      <c r="Q54" s="14">
        <f>IF($A54="","",$A54*10+IF($B54="",1,$B54))</f>
        <v/>
      </c>
    </row>
    <row r="55">
      <c r="A55" s="11" t="n"/>
      <c r="G55" s="12" t="n"/>
      <c r="K55" s="12" t="n"/>
      <c r="L55" s="13">
        <f>IF($A55="","",IF(COUNT(D55:F55)&lt;3,"",IF(MIN(D55:F55)&lt;=low_max,"LOW",IF(MIN(D55:F55)&lt;=watch_max,"WATCH","GOOD"))))</f>
        <v/>
      </c>
      <c r="M55" s="13">
        <f>IF($A55="","",IF(COUNT(H55:J55)&lt;3,"",IF(MIN((11-H55),I55,J55)&lt;=low_max,"LOW",IF(MIN((11-H55),I55,J55)&lt;=watch_max,"WATCH","GOOD"))))</f>
        <v/>
      </c>
      <c r="N55" s="13">
        <f>IF(OR(L55="LOW",M55="LOW"),"LOW",IF(OR(L55="WATCH",M55="WATCH"),"WATCH",IF(OR(L55="GOOD",M55="GOOD"),"GOOD","")))</f>
        <v/>
      </c>
      <c r="O55" s="13">
        <f>IF(COUNT(D55:F55,H55:J55)&lt;6,"",ROUND(AVERAGE(D55,E55,F55,(11-H55),I55,J55),1))</f>
        <v/>
      </c>
      <c r="P55" s="13">
        <f>IF($A55="","",IF(COUNTIFS(Session!$L$3:$L$202,Q55)=0,"⚠ no Session row","ok"))</f>
        <v/>
      </c>
      <c r="Q55" s="14">
        <f>IF($A55="","",$A55*10+IF($B55="",1,$B55))</f>
        <v/>
      </c>
    </row>
    <row r="56">
      <c r="A56" s="11" t="n"/>
      <c r="G56" s="12" t="n"/>
      <c r="K56" s="12" t="n"/>
      <c r="L56" s="13">
        <f>IF($A56="","",IF(COUNT(D56:F56)&lt;3,"",IF(MIN(D56:F56)&lt;=low_max,"LOW",IF(MIN(D56:F56)&lt;=watch_max,"WATCH","GOOD"))))</f>
        <v/>
      </c>
      <c r="M56" s="13">
        <f>IF($A56="","",IF(COUNT(H56:J56)&lt;3,"",IF(MIN((11-H56),I56,J56)&lt;=low_max,"LOW",IF(MIN((11-H56),I56,J56)&lt;=watch_max,"WATCH","GOOD"))))</f>
        <v/>
      </c>
      <c r="N56" s="13">
        <f>IF(OR(L56="LOW",M56="LOW"),"LOW",IF(OR(L56="WATCH",M56="WATCH"),"WATCH",IF(OR(L56="GOOD",M56="GOOD"),"GOOD","")))</f>
        <v/>
      </c>
      <c r="O56" s="13">
        <f>IF(COUNT(D56:F56,H56:J56)&lt;6,"",ROUND(AVERAGE(D56,E56,F56,(11-H56),I56,J56),1))</f>
        <v/>
      </c>
      <c r="P56" s="13">
        <f>IF($A56="","",IF(COUNTIFS(Session!$L$3:$L$202,Q56)=0,"⚠ no Session row","ok"))</f>
        <v/>
      </c>
      <c r="Q56" s="14">
        <f>IF($A56="","",$A56*10+IF($B56="",1,$B56))</f>
        <v/>
      </c>
    </row>
    <row r="57">
      <c r="A57" s="11" t="n"/>
      <c r="G57" s="12" t="n"/>
      <c r="K57" s="12" t="n"/>
      <c r="L57" s="13">
        <f>IF($A57="","",IF(COUNT(D57:F57)&lt;3,"",IF(MIN(D57:F57)&lt;=low_max,"LOW",IF(MIN(D57:F57)&lt;=watch_max,"WATCH","GOOD"))))</f>
        <v/>
      </c>
      <c r="M57" s="13">
        <f>IF($A57="","",IF(COUNT(H57:J57)&lt;3,"",IF(MIN((11-H57),I57,J57)&lt;=low_max,"LOW",IF(MIN((11-H57),I57,J57)&lt;=watch_max,"WATCH","GOOD"))))</f>
        <v/>
      </c>
      <c r="N57" s="13">
        <f>IF(OR(L57="LOW",M57="LOW"),"LOW",IF(OR(L57="WATCH",M57="WATCH"),"WATCH",IF(OR(L57="GOOD",M57="GOOD"),"GOOD","")))</f>
        <v/>
      </c>
      <c r="O57" s="13">
        <f>IF(COUNT(D57:F57,H57:J57)&lt;6,"",ROUND(AVERAGE(D57,E57,F57,(11-H57),I57,J57),1))</f>
        <v/>
      </c>
      <c r="P57" s="13">
        <f>IF($A57="","",IF(COUNTIFS(Session!$L$3:$L$202,Q57)=0,"⚠ no Session row","ok"))</f>
        <v/>
      </c>
      <c r="Q57" s="14">
        <f>IF($A57="","",$A57*10+IF($B57="",1,$B57))</f>
        <v/>
      </c>
    </row>
    <row r="58">
      <c r="A58" s="11" t="n"/>
      <c r="G58" s="12" t="n"/>
      <c r="K58" s="12" t="n"/>
      <c r="L58" s="13">
        <f>IF($A58="","",IF(COUNT(D58:F58)&lt;3,"",IF(MIN(D58:F58)&lt;=low_max,"LOW",IF(MIN(D58:F58)&lt;=watch_max,"WATCH","GOOD"))))</f>
        <v/>
      </c>
      <c r="M58" s="13">
        <f>IF($A58="","",IF(COUNT(H58:J58)&lt;3,"",IF(MIN((11-H58),I58,J58)&lt;=low_max,"LOW",IF(MIN((11-H58),I58,J58)&lt;=watch_max,"WATCH","GOOD"))))</f>
        <v/>
      </c>
      <c r="N58" s="13">
        <f>IF(OR(L58="LOW",M58="LOW"),"LOW",IF(OR(L58="WATCH",M58="WATCH"),"WATCH",IF(OR(L58="GOOD",M58="GOOD"),"GOOD","")))</f>
        <v/>
      </c>
      <c r="O58" s="13">
        <f>IF(COUNT(D58:F58,H58:J58)&lt;6,"",ROUND(AVERAGE(D58,E58,F58,(11-H58),I58,J58),1))</f>
        <v/>
      </c>
      <c r="P58" s="13">
        <f>IF($A58="","",IF(COUNTIFS(Session!$L$3:$L$202,Q58)=0,"⚠ no Session row","ok"))</f>
        <v/>
      </c>
      <c r="Q58" s="14">
        <f>IF($A58="","",$A58*10+IF($B58="",1,$B58))</f>
        <v/>
      </c>
    </row>
    <row r="59">
      <c r="A59" s="11" t="n"/>
      <c r="G59" s="12" t="n"/>
      <c r="K59" s="12" t="n"/>
      <c r="L59" s="13">
        <f>IF($A59="","",IF(COUNT(D59:F59)&lt;3,"",IF(MIN(D59:F59)&lt;=low_max,"LOW",IF(MIN(D59:F59)&lt;=watch_max,"WATCH","GOOD"))))</f>
        <v/>
      </c>
      <c r="M59" s="13">
        <f>IF($A59="","",IF(COUNT(H59:J59)&lt;3,"",IF(MIN((11-H59),I59,J59)&lt;=low_max,"LOW",IF(MIN((11-H59),I59,J59)&lt;=watch_max,"WATCH","GOOD"))))</f>
        <v/>
      </c>
      <c r="N59" s="13">
        <f>IF(OR(L59="LOW",M59="LOW"),"LOW",IF(OR(L59="WATCH",M59="WATCH"),"WATCH",IF(OR(L59="GOOD",M59="GOOD"),"GOOD","")))</f>
        <v/>
      </c>
      <c r="O59" s="13">
        <f>IF(COUNT(D59:F59,H59:J59)&lt;6,"",ROUND(AVERAGE(D59,E59,F59,(11-H59),I59,J59),1))</f>
        <v/>
      </c>
      <c r="P59" s="13">
        <f>IF($A59="","",IF(COUNTIFS(Session!$L$3:$L$202,Q59)=0,"⚠ no Session row","ok"))</f>
        <v/>
      </c>
      <c r="Q59" s="14">
        <f>IF($A59="","",$A59*10+IF($B59="",1,$B59))</f>
        <v/>
      </c>
    </row>
    <row r="60">
      <c r="A60" s="11" t="n"/>
      <c r="G60" s="12" t="n"/>
      <c r="K60" s="12" t="n"/>
      <c r="L60" s="13">
        <f>IF($A60="","",IF(COUNT(D60:F60)&lt;3,"",IF(MIN(D60:F60)&lt;=low_max,"LOW",IF(MIN(D60:F60)&lt;=watch_max,"WATCH","GOOD"))))</f>
        <v/>
      </c>
      <c r="M60" s="13">
        <f>IF($A60="","",IF(COUNT(H60:J60)&lt;3,"",IF(MIN((11-H60),I60,J60)&lt;=low_max,"LOW",IF(MIN((11-H60),I60,J60)&lt;=watch_max,"WATCH","GOOD"))))</f>
        <v/>
      </c>
      <c r="N60" s="13">
        <f>IF(OR(L60="LOW",M60="LOW"),"LOW",IF(OR(L60="WATCH",M60="WATCH"),"WATCH",IF(OR(L60="GOOD",M60="GOOD"),"GOOD","")))</f>
        <v/>
      </c>
      <c r="O60" s="13">
        <f>IF(COUNT(D60:F60,H60:J60)&lt;6,"",ROUND(AVERAGE(D60,E60,F60,(11-H60),I60,J60),1))</f>
        <v/>
      </c>
      <c r="P60" s="13">
        <f>IF($A60="","",IF(COUNTIFS(Session!$L$3:$L$202,Q60)=0,"⚠ no Session row","ok"))</f>
        <v/>
      </c>
      <c r="Q60" s="14">
        <f>IF($A60="","",$A60*10+IF($B60="",1,$B60))</f>
        <v/>
      </c>
    </row>
    <row r="61">
      <c r="A61" s="11" t="n"/>
      <c r="G61" s="12" t="n"/>
      <c r="K61" s="12" t="n"/>
      <c r="L61" s="13">
        <f>IF($A61="","",IF(COUNT(D61:F61)&lt;3,"",IF(MIN(D61:F61)&lt;=low_max,"LOW",IF(MIN(D61:F61)&lt;=watch_max,"WATCH","GOOD"))))</f>
        <v/>
      </c>
      <c r="M61" s="13">
        <f>IF($A61="","",IF(COUNT(H61:J61)&lt;3,"",IF(MIN((11-H61),I61,J61)&lt;=low_max,"LOW",IF(MIN((11-H61),I61,J61)&lt;=watch_max,"WATCH","GOOD"))))</f>
        <v/>
      </c>
      <c r="N61" s="13">
        <f>IF(OR(L61="LOW",M61="LOW"),"LOW",IF(OR(L61="WATCH",M61="WATCH"),"WATCH",IF(OR(L61="GOOD",M61="GOOD"),"GOOD","")))</f>
        <v/>
      </c>
      <c r="O61" s="13">
        <f>IF(COUNT(D61:F61,H61:J61)&lt;6,"",ROUND(AVERAGE(D61,E61,F61,(11-H61),I61,J61),1))</f>
        <v/>
      </c>
      <c r="P61" s="13">
        <f>IF($A61="","",IF(COUNTIFS(Session!$L$3:$L$202,Q61)=0,"⚠ no Session row","ok"))</f>
        <v/>
      </c>
      <c r="Q61" s="14">
        <f>IF($A61="","",$A61*10+IF($B61="",1,$B61))</f>
        <v/>
      </c>
    </row>
    <row r="62">
      <c r="A62" s="11" t="n"/>
      <c r="G62" s="12" t="n"/>
      <c r="K62" s="12" t="n"/>
      <c r="L62" s="13">
        <f>IF($A62="","",IF(COUNT(D62:F62)&lt;3,"",IF(MIN(D62:F62)&lt;=low_max,"LOW",IF(MIN(D62:F62)&lt;=watch_max,"WATCH","GOOD"))))</f>
        <v/>
      </c>
      <c r="M62" s="13">
        <f>IF($A62="","",IF(COUNT(H62:J62)&lt;3,"",IF(MIN((11-H62),I62,J62)&lt;=low_max,"LOW",IF(MIN((11-H62),I62,J62)&lt;=watch_max,"WATCH","GOOD"))))</f>
        <v/>
      </c>
      <c r="N62" s="13">
        <f>IF(OR(L62="LOW",M62="LOW"),"LOW",IF(OR(L62="WATCH",M62="WATCH"),"WATCH",IF(OR(L62="GOOD",M62="GOOD"),"GOOD","")))</f>
        <v/>
      </c>
      <c r="O62" s="13">
        <f>IF(COUNT(D62:F62,H62:J62)&lt;6,"",ROUND(AVERAGE(D62,E62,F62,(11-H62),I62,J62),1))</f>
        <v/>
      </c>
      <c r="P62" s="13">
        <f>IF($A62="","",IF(COUNTIFS(Session!$L$3:$L$202,Q62)=0,"⚠ no Session row","ok"))</f>
        <v/>
      </c>
      <c r="Q62" s="14">
        <f>IF($A62="","",$A62*10+IF($B62="",1,$B62))</f>
        <v/>
      </c>
    </row>
    <row r="63">
      <c r="A63" s="11" t="n"/>
      <c r="G63" s="12" t="n"/>
      <c r="K63" s="12" t="n"/>
      <c r="L63" s="13">
        <f>IF($A63="","",IF(COUNT(D63:F63)&lt;3,"",IF(MIN(D63:F63)&lt;=low_max,"LOW",IF(MIN(D63:F63)&lt;=watch_max,"WATCH","GOOD"))))</f>
        <v/>
      </c>
      <c r="M63" s="13">
        <f>IF($A63="","",IF(COUNT(H63:J63)&lt;3,"",IF(MIN((11-H63),I63,J63)&lt;=low_max,"LOW",IF(MIN((11-H63),I63,J63)&lt;=watch_max,"WATCH","GOOD"))))</f>
        <v/>
      </c>
      <c r="N63" s="13">
        <f>IF(OR(L63="LOW",M63="LOW"),"LOW",IF(OR(L63="WATCH",M63="WATCH"),"WATCH",IF(OR(L63="GOOD",M63="GOOD"),"GOOD","")))</f>
        <v/>
      </c>
      <c r="O63" s="13">
        <f>IF(COUNT(D63:F63,H63:J63)&lt;6,"",ROUND(AVERAGE(D63,E63,F63,(11-H63),I63,J63),1))</f>
        <v/>
      </c>
      <c r="P63" s="13">
        <f>IF($A63="","",IF(COUNTIFS(Session!$L$3:$L$202,Q63)=0,"⚠ no Session row","ok"))</f>
        <v/>
      </c>
      <c r="Q63" s="14">
        <f>IF($A63="","",$A63*10+IF($B63="",1,$B63))</f>
        <v/>
      </c>
    </row>
    <row r="64">
      <c r="A64" s="11" t="n"/>
      <c r="G64" s="12" t="n"/>
      <c r="K64" s="12" t="n"/>
      <c r="L64" s="13">
        <f>IF($A64="","",IF(COUNT(D64:F64)&lt;3,"",IF(MIN(D64:F64)&lt;=low_max,"LOW",IF(MIN(D64:F64)&lt;=watch_max,"WATCH","GOOD"))))</f>
        <v/>
      </c>
      <c r="M64" s="13">
        <f>IF($A64="","",IF(COUNT(H64:J64)&lt;3,"",IF(MIN((11-H64),I64,J64)&lt;=low_max,"LOW",IF(MIN((11-H64),I64,J64)&lt;=watch_max,"WATCH","GOOD"))))</f>
        <v/>
      </c>
      <c r="N64" s="13">
        <f>IF(OR(L64="LOW",M64="LOW"),"LOW",IF(OR(L64="WATCH",M64="WATCH"),"WATCH",IF(OR(L64="GOOD",M64="GOOD"),"GOOD","")))</f>
        <v/>
      </c>
      <c r="O64" s="13">
        <f>IF(COUNT(D64:F64,H64:J64)&lt;6,"",ROUND(AVERAGE(D64,E64,F64,(11-H64),I64,J64),1))</f>
        <v/>
      </c>
      <c r="P64" s="13">
        <f>IF($A64="","",IF(COUNTIFS(Session!$L$3:$L$202,Q64)=0,"⚠ no Session row","ok"))</f>
        <v/>
      </c>
      <c r="Q64" s="14">
        <f>IF($A64="","",$A64*10+IF($B64="",1,$B64))</f>
        <v/>
      </c>
    </row>
    <row r="65">
      <c r="A65" s="11" t="n"/>
      <c r="G65" s="12" t="n"/>
      <c r="K65" s="12" t="n"/>
      <c r="L65" s="13">
        <f>IF($A65="","",IF(COUNT(D65:F65)&lt;3,"",IF(MIN(D65:F65)&lt;=low_max,"LOW",IF(MIN(D65:F65)&lt;=watch_max,"WATCH","GOOD"))))</f>
        <v/>
      </c>
      <c r="M65" s="13">
        <f>IF($A65="","",IF(COUNT(H65:J65)&lt;3,"",IF(MIN((11-H65),I65,J65)&lt;=low_max,"LOW",IF(MIN((11-H65),I65,J65)&lt;=watch_max,"WATCH","GOOD"))))</f>
        <v/>
      </c>
      <c r="N65" s="13">
        <f>IF(OR(L65="LOW",M65="LOW"),"LOW",IF(OR(L65="WATCH",M65="WATCH"),"WATCH",IF(OR(L65="GOOD",M65="GOOD"),"GOOD","")))</f>
        <v/>
      </c>
      <c r="O65" s="13">
        <f>IF(COUNT(D65:F65,H65:J65)&lt;6,"",ROUND(AVERAGE(D65,E65,F65,(11-H65),I65,J65),1))</f>
        <v/>
      </c>
      <c r="P65" s="13">
        <f>IF($A65="","",IF(COUNTIFS(Session!$L$3:$L$202,Q65)=0,"⚠ no Session row","ok"))</f>
        <v/>
      </c>
      <c r="Q65" s="14">
        <f>IF($A65="","",$A65*10+IF($B65="",1,$B65))</f>
        <v/>
      </c>
    </row>
    <row r="66">
      <c r="A66" s="11" t="n"/>
      <c r="G66" s="12" t="n"/>
      <c r="K66" s="12" t="n"/>
      <c r="L66" s="13">
        <f>IF($A66="","",IF(COUNT(D66:F66)&lt;3,"",IF(MIN(D66:F66)&lt;=low_max,"LOW",IF(MIN(D66:F66)&lt;=watch_max,"WATCH","GOOD"))))</f>
        <v/>
      </c>
      <c r="M66" s="13">
        <f>IF($A66="","",IF(COUNT(H66:J66)&lt;3,"",IF(MIN((11-H66),I66,J66)&lt;=low_max,"LOW",IF(MIN((11-H66),I66,J66)&lt;=watch_max,"WATCH","GOOD"))))</f>
        <v/>
      </c>
      <c r="N66" s="13">
        <f>IF(OR(L66="LOW",M66="LOW"),"LOW",IF(OR(L66="WATCH",M66="WATCH"),"WATCH",IF(OR(L66="GOOD",M66="GOOD"),"GOOD","")))</f>
        <v/>
      </c>
      <c r="O66" s="13">
        <f>IF(COUNT(D66:F66,H66:J66)&lt;6,"",ROUND(AVERAGE(D66,E66,F66,(11-H66),I66,J66),1))</f>
        <v/>
      </c>
      <c r="P66" s="13">
        <f>IF($A66="","",IF(COUNTIFS(Session!$L$3:$L$202,Q66)=0,"⚠ no Session row","ok"))</f>
        <v/>
      </c>
      <c r="Q66" s="14">
        <f>IF($A66="","",$A66*10+IF($B66="",1,$B66))</f>
        <v/>
      </c>
    </row>
    <row r="67">
      <c r="A67" s="11" t="n"/>
      <c r="G67" s="12" t="n"/>
      <c r="K67" s="12" t="n"/>
      <c r="L67" s="13">
        <f>IF($A67="","",IF(COUNT(D67:F67)&lt;3,"",IF(MIN(D67:F67)&lt;=low_max,"LOW",IF(MIN(D67:F67)&lt;=watch_max,"WATCH","GOOD"))))</f>
        <v/>
      </c>
      <c r="M67" s="13">
        <f>IF($A67="","",IF(COUNT(H67:J67)&lt;3,"",IF(MIN((11-H67),I67,J67)&lt;=low_max,"LOW",IF(MIN((11-H67),I67,J67)&lt;=watch_max,"WATCH","GOOD"))))</f>
        <v/>
      </c>
      <c r="N67" s="13">
        <f>IF(OR(L67="LOW",M67="LOW"),"LOW",IF(OR(L67="WATCH",M67="WATCH"),"WATCH",IF(OR(L67="GOOD",M67="GOOD"),"GOOD","")))</f>
        <v/>
      </c>
      <c r="O67" s="13">
        <f>IF(COUNT(D67:F67,H67:J67)&lt;6,"",ROUND(AVERAGE(D67,E67,F67,(11-H67),I67,J67),1))</f>
        <v/>
      </c>
      <c r="P67" s="13">
        <f>IF($A67="","",IF(COUNTIFS(Session!$L$3:$L$202,Q67)=0,"⚠ no Session row","ok"))</f>
        <v/>
      </c>
      <c r="Q67" s="14">
        <f>IF($A67="","",$A67*10+IF($B67="",1,$B67))</f>
        <v/>
      </c>
    </row>
    <row r="68">
      <c r="A68" s="11" t="n"/>
      <c r="G68" s="12" t="n"/>
      <c r="K68" s="12" t="n"/>
      <c r="L68" s="13">
        <f>IF($A68="","",IF(COUNT(D68:F68)&lt;3,"",IF(MIN(D68:F68)&lt;=low_max,"LOW",IF(MIN(D68:F68)&lt;=watch_max,"WATCH","GOOD"))))</f>
        <v/>
      </c>
      <c r="M68" s="13">
        <f>IF($A68="","",IF(COUNT(H68:J68)&lt;3,"",IF(MIN((11-H68),I68,J68)&lt;=low_max,"LOW",IF(MIN((11-H68),I68,J68)&lt;=watch_max,"WATCH","GOOD"))))</f>
        <v/>
      </c>
      <c r="N68" s="13">
        <f>IF(OR(L68="LOW",M68="LOW"),"LOW",IF(OR(L68="WATCH",M68="WATCH"),"WATCH",IF(OR(L68="GOOD",M68="GOOD"),"GOOD","")))</f>
        <v/>
      </c>
      <c r="O68" s="13">
        <f>IF(COUNT(D68:F68,H68:J68)&lt;6,"",ROUND(AVERAGE(D68,E68,F68,(11-H68),I68,J68),1))</f>
        <v/>
      </c>
      <c r="P68" s="13">
        <f>IF($A68="","",IF(COUNTIFS(Session!$L$3:$L$202,Q68)=0,"⚠ no Session row","ok"))</f>
        <v/>
      </c>
      <c r="Q68" s="14">
        <f>IF($A68="","",$A68*10+IF($B68="",1,$B68))</f>
        <v/>
      </c>
    </row>
    <row r="69">
      <c r="A69" s="11" t="n"/>
      <c r="G69" s="12" t="n"/>
      <c r="K69" s="12" t="n"/>
      <c r="L69" s="13">
        <f>IF($A69="","",IF(COUNT(D69:F69)&lt;3,"",IF(MIN(D69:F69)&lt;=low_max,"LOW",IF(MIN(D69:F69)&lt;=watch_max,"WATCH","GOOD"))))</f>
        <v/>
      </c>
      <c r="M69" s="13">
        <f>IF($A69="","",IF(COUNT(H69:J69)&lt;3,"",IF(MIN((11-H69),I69,J69)&lt;=low_max,"LOW",IF(MIN((11-H69),I69,J69)&lt;=watch_max,"WATCH","GOOD"))))</f>
        <v/>
      </c>
      <c r="N69" s="13">
        <f>IF(OR(L69="LOW",M69="LOW"),"LOW",IF(OR(L69="WATCH",M69="WATCH"),"WATCH",IF(OR(L69="GOOD",M69="GOOD"),"GOOD","")))</f>
        <v/>
      </c>
      <c r="O69" s="13">
        <f>IF(COUNT(D69:F69,H69:J69)&lt;6,"",ROUND(AVERAGE(D69,E69,F69,(11-H69),I69,J69),1))</f>
        <v/>
      </c>
      <c r="P69" s="13">
        <f>IF($A69="","",IF(COUNTIFS(Session!$L$3:$L$202,Q69)=0,"⚠ no Session row","ok"))</f>
        <v/>
      </c>
      <c r="Q69" s="14">
        <f>IF($A69="","",$A69*10+IF($B69="",1,$B69))</f>
        <v/>
      </c>
    </row>
    <row r="70">
      <c r="A70" s="11" t="n"/>
      <c r="G70" s="12" t="n"/>
      <c r="K70" s="12" t="n"/>
      <c r="L70" s="13">
        <f>IF($A70="","",IF(COUNT(D70:F70)&lt;3,"",IF(MIN(D70:F70)&lt;=low_max,"LOW",IF(MIN(D70:F70)&lt;=watch_max,"WATCH","GOOD"))))</f>
        <v/>
      </c>
      <c r="M70" s="13">
        <f>IF($A70="","",IF(COUNT(H70:J70)&lt;3,"",IF(MIN((11-H70),I70,J70)&lt;=low_max,"LOW",IF(MIN((11-H70),I70,J70)&lt;=watch_max,"WATCH","GOOD"))))</f>
        <v/>
      </c>
      <c r="N70" s="13">
        <f>IF(OR(L70="LOW",M70="LOW"),"LOW",IF(OR(L70="WATCH",M70="WATCH"),"WATCH",IF(OR(L70="GOOD",M70="GOOD"),"GOOD","")))</f>
        <v/>
      </c>
      <c r="O70" s="13">
        <f>IF(COUNT(D70:F70,H70:J70)&lt;6,"",ROUND(AVERAGE(D70,E70,F70,(11-H70),I70,J70),1))</f>
        <v/>
      </c>
      <c r="P70" s="13">
        <f>IF($A70="","",IF(COUNTIFS(Session!$L$3:$L$202,Q70)=0,"⚠ no Session row","ok"))</f>
        <v/>
      </c>
      <c r="Q70" s="14">
        <f>IF($A70="","",$A70*10+IF($B70="",1,$B70))</f>
        <v/>
      </c>
    </row>
    <row r="71">
      <c r="A71" s="11" t="n"/>
      <c r="G71" s="12" t="n"/>
      <c r="K71" s="12" t="n"/>
      <c r="L71" s="13">
        <f>IF($A71="","",IF(COUNT(D71:F71)&lt;3,"",IF(MIN(D71:F71)&lt;=low_max,"LOW",IF(MIN(D71:F71)&lt;=watch_max,"WATCH","GOOD"))))</f>
        <v/>
      </c>
      <c r="M71" s="13">
        <f>IF($A71="","",IF(COUNT(H71:J71)&lt;3,"",IF(MIN((11-H71),I71,J71)&lt;=low_max,"LOW",IF(MIN((11-H71),I71,J71)&lt;=watch_max,"WATCH","GOOD"))))</f>
        <v/>
      </c>
      <c r="N71" s="13">
        <f>IF(OR(L71="LOW",M71="LOW"),"LOW",IF(OR(L71="WATCH",M71="WATCH"),"WATCH",IF(OR(L71="GOOD",M71="GOOD"),"GOOD","")))</f>
        <v/>
      </c>
      <c r="O71" s="13">
        <f>IF(COUNT(D71:F71,H71:J71)&lt;6,"",ROUND(AVERAGE(D71,E71,F71,(11-H71),I71,J71),1))</f>
        <v/>
      </c>
      <c r="P71" s="13">
        <f>IF($A71="","",IF(COUNTIFS(Session!$L$3:$L$202,Q71)=0,"⚠ no Session row","ok"))</f>
        <v/>
      </c>
      <c r="Q71" s="14">
        <f>IF($A71="","",$A71*10+IF($B71="",1,$B71))</f>
        <v/>
      </c>
    </row>
    <row r="72">
      <c r="A72" s="11" t="n"/>
      <c r="G72" s="12" t="n"/>
      <c r="K72" s="12" t="n"/>
      <c r="L72" s="13">
        <f>IF($A72="","",IF(COUNT(D72:F72)&lt;3,"",IF(MIN(D72:F72)&lt;=low_max,"LOW",IF(MIN(D72:F72)&lt;=watch_max,"WATCH","GOOD"))))</f>
        <v/>
      </c>
      <c r="M72" s="13">
        <f>IF($A72="","",IF(COUNT(H72:J72)&lt;3,"",IF(MIN((11-H72),I72,J72)&lt;=low_max,"LOW",IF(MIN((11-H72),I72,J72)&lt;=watch_max,"WATCH","GOOD"))))</f>
        <v/>
      </c>
      <c r="N72" s="13">
        <f>IF(OR(L72="LOW",M72="LOW"),"LOW",IF(OR(L72="WATCH",M72="WATCH"),"WATCH",IF(OR(L72="GOOD",M72="GOOD"),"GOOD","")))</f>
        <v/>
      </c>
      <c r="O72" s="13">
        <f>IF(COUNT(D72:F72,H72:J72)&lt;6,"",ROUND(AVERAGE(D72,E72,F72,(11-H72),I72,J72),1))</f>
        <v/>
      </c>
      <c r="P72" s="13">
        <f>IF($A72="","",IF(COUNTIFS(Session!$L$3:$L$202,Q72)=0,"⚠ no Session row","ok"))</f>
        <v/>
      </c>
      <c r="Q72" s="14">
        <f>IF($A72="","",$A72*10+IF($B72="",1,$B72))</f>
        <v/>
      </c>
    </row>
    <row r="73">
      <c r="A73" s="11" t="n"/>
      <c r="G73" s="12" t="n"/>
      <c r="K73" s="12" t="n"/>
      <c r="L73" s="13">
        <f>IF($A73="","",IF(COUNT(D73:F73)&lt;3,"",IF(MIN(D73:F73)&lt;=low_max,"LOW",IF(MIN(D73:F73)&lt;=watch_max,"WATCH","GOOD"))))</f>
        <v/>
      </c>
      <c r="M73" s="13">
        <f>IF($A73="","",IF(COUNT(H73:J73)&lt;3,"",IF(MIN((11-H73),I73,J73)&lt;=low_max,"LOW",IF(MIN((11-H73),I73,J73)&lt;=watch_max,"WATCH","GOOD"))))</f>
        <v/>
      </c>
      <c r="N73" s="13">
        <f>IF(OR(L73="LOW",M73="LOW"),"LOW",IF(OR(L73="WATCH",M73="WATCH"),"WATCH",IF(OR(L73="GOOD",M73="GOOD"),"GOOD","")))</f>
        <v/>
      </c>
      <c r="O73" s="13">
        <f>IF(COUNT(D73:F73,H73:J73)&lt;6,"",ROUND(AVERAGE(D73,E73,F73,(11-H73),I73,J73),1))</f>
        <v/>
      </c>
      <c r="P73" s="13">
        <f>IF($A73="","",IF(COUNTIFS(Session!$L$3:$L$202,Q73)=0,"⚠ no Session row","ok"))</f>
        <v/>
      </c>
      <c r="Q73" s="14">
        <f>IF($A73="","",$A73*10+IF($B73="",1,$B73))</f>
        <v/>
      </c>
    </row>
    <row r="74">
      <c r="A74" s="11" t="n"/>
      <c r="G74" s="12" t="n"/>
      <c r="K74" s="12" t="n"/>
      <c r="L74" s="13">
        <f>IF($A74="","",IF(COUNT(D74:F74)&lt;3,"",IF(MIN(D74:F74)&lt;=low_max,"LOW",IF(MIN(D74:F74)&lt;=watch_max,"WATCH","GOOD"))))</f>
        <v/>
      </c>
      <c r="M74" s="13">
        <f>IF($A74="","",IF(COUNT(H74:J74)&lt;3,"",IF(MIN((11-H74),I74,J74)&lt;=low_max,"LOW",IF(MIN((11-H74),I74,J74)&lt;=watch_max,"WATCH","GOOD"))))</f>
        <v/>
      </c>
      <c r="N74" s="13">
        <f>IF(OR(L74="LOW",M74="LOW"),"LOW",IF(OR(L74="WATCH",M74="WATCH"),"WATCH",IF(OR(L74="GOOD",M74="GOOD"),"GOOD","")))</f>
        <v/>
      </c>
      <c r="O74" s="13">
        <f>IF(COUNT(D74:F74,H74:J74)&lt;6,"",ROUND(AVERAGE(D74,E74,F74,(11-H74),I74,J74),1))</f>
        <v/>
      </c>
      <c r="P74" s="13">
        <f>IF($A74="","",IF(COUNTIFS(Session!$L$3:$L$202,Q74)=0,"⚠ no Session row","ok"))</f>
        <v/>
      </c>
      <c r="Q74" s="14">
        <f>IF($A74="","",$A74*10+IF($B74="",1,$B74))</f>
        <v/>
      </c>
    </row>
    <row r="75">
      <c r="A75" s="11" t="n"/>
      <c r="G75" s="12" t="n"/>
      <c r="K75" s="12" t="n"/>
      <c r="L75" s="13">
        <f>IF($A75="","",IF(COUNT(D75:F75)&lt;3,"",IF(MIN(D75:F75)&lt;=low_max,"LOW",IF(MIN(D75:F75)&lt;=watch_max,"WATCH","GOOD"))))</f>
        <v/>
      </c>
      <c r="M75" s="13">
        <f>IF($A75="","",IF(COUNT(H75:J75)&lt;3,"",IF(MIN((11-H75),I75,J75)&lt;=low_max,"LOW",IF(MIN((11-H75),I75,J75)&lt;=watch_max,"WATCH","GOOD"))))</f>
        <v/>
      </c>
      <c r="N75" s="13">
        <f>IF(OR(L75="LOW",M75="LOW"),"LOW",IF(OR(L75="WATCH",M75="WATCH"),"WATCH",IF(OR(L75="GOOD",M75="GOOD"),"GOOD","")))</f>
        <v/>
      </c>
      <c r="O75" s="13">
        <f>IF(COUNT(D75:F75,H75:J75)&lt;6,"",ROUND(AVERAGE(D75,E75,F75,(11-H75),I75,J75),1))</f>
        <v/>
      </c>
      <c r="P75" s="13">
        <f>IF($A75="","",IF(COUNTIFS(Session!$L$3:$L$202,Q75)=0,"⚠ no Session row","ok"))</f>
        <v/>
      </c>
      <c r="Q75" s="14">
        <f>IF($A75="","",$A75*10+IF($B75="",1,$B75))</f>
        <v/>
      </c>
    </row>
    <row r="76">
      <c r="A76" s="11" t="n"/>
      <c r="G76" s="12" t="n"/>
      <c r="K76" s="12" t="n"/>
      <c r="L76" s="13">
        <f>IF($A76="","",IF(COUNT(D76:F76)&lt;3,"",IF(MIN(D76:F76)&lt;=low_max,"LOW",IF(MIN(D76:F76)&lt;=watch_max,"WATCH","GOOD"))))</f>
        <v/>
      </c>
      <c r="M76" s="13">
        <f>IF($A76="","",IF(COUNT(H76:J76)&lt;3,"",IF(MIN((11-H76),I76,J76)&lt;=low_max,"LOW",IF(MIN((11-H76),I76,J76)&lt;=watch_max,"WATCH","GOOD"))))</f>
        <v/>
      </c>
      <c r="N76" s="13">
        <f>IF(OR(L76="LOW",M76="LOW"),"LOW",IF(OR(L76="WATCH",M76="WATCH"),"WATCH",IF(OR(L76="GOOD",M76="GOOD"),"GOOD","")))</f>
        <v/>
      </c>
      <c r="O76" s="13">
        <f>IF(COUNT(D76:F76,H76:J76)&lt;6,"",ROUND(AVERAGE(D76,E76,F76,(11-H76),I76,J76),1))</f>
        <v/>
      </c>
      <c r="P76" s="13">
        <f>IF($A76="","",IF(COUNTIFS(Session!$L$3:$L$202,Q76)=0,"⚠ no Session row","ok"))</f>
        <v/>
      </c>
      <c r="Q76" s="14">
        <f>IF($A76="","",$A76*10+IF($B76="",1,$B76))</f>
        <v/>
      </c>
    </row>
    <row r="77">
      <c r="A77" s="11" t="n"/>
      <c r="G77" s="12" t="n"/>
      <c r="K77" s="12" t="n"/>
      <c r="L77" s="13">
        <f>IF($A77="","",IF(COUNT(D77:F77)&lt;3,"",IF(MIN(D77:F77)&lt;=low_max,"LOW",IF(MIN(D77:F77)&lt;=watch_max,"WATCH","GOOD"))))</f>
        <v/>
      </c>
      <c r="M77" s="13">
        <f>IF($A77="","",IF(COUNT(H77:J77)&lt;3,"",IF(MIN((11-H77),I77,J77)&lt;=low_max,"LOW",IF(MIN((11-H77),I77,J77)&lt;=watch_max,"WATCH","GOOD"))))</f>
        <v/>
      </c>
      <c r="N77" s="13">
        <f>IF(OR(L77="LOW",M77="LOW"),"LOW",IF(OR(L77="WATCH",M77="WATCH"),"WATCH",IF(OR(L77="GOOD",M77="GOOD"),"GOOD","")))</f>
        <v/>
      </c>
      <c r="O77" s="13">
        <f>IF(COUNT(D77:F77,H77:J77)&lt;6,"",ROUND(AVERAGE(D77,E77,F77,(11-H77),I77,J77),1))</f>
        <v/>
      </c>
      <c r="P77" s="13">
        <f>IF($A77="","",IF(COUNTIFS(Session!$L$3:$L$202,Q77)=0,"⚠ no Session row","ok"))</f>
        <v/>
      </c>
      <c r="Q77" s="14">
        <f>IF($A77="","",$A77*10+IF($B77="",1,$B77))</f>
        <v/>
      </c>
    </row>
    <row r="78">
      <c r="A78" s="11" t="n"/>
      <c r="G78" s="12" t="n"/>
      <c r="K78" s="12" t="n"/>
      <c r="L78" s="13">
        <f>IF($A78="","",IF(COUNT(D78:F78)&lt;3,"",IF(MIN(D78:F78)&lt;=low_max,"LOW",IF(MIN(D78:F78)&lt;=watch_max,"WATCH","GOOD"))))</f>
        <v/>
      </c>
      <c r="M78" s="13">
        <f>IF($A78="","",IF(COUNT(H78:J78)&lt;3,"",IF(MIN((11-H78),I78,J78)&lt;=low_max,"LOW",IF(MIN((11-H78),I78,J78)&lt;=watch_max,"WATCH","GOOD"))))</f>
        <v/>
      </c>
      <c r="N78" s="13">
        <f>IF(OR(L78="LOW",M78="LOW"),"LOW",IF(OR(L78="WATCH",M78="WATCH"),"WATCH",IF(OR(L78="GOOD",M78="GOOD"),"GOOD","")))</f>
        <v/>
      </c>
      <c r="O78" s="13">
        <f>IF(COUNT(D78:F78,H78:J78)&lt;6,"",ROUND(AVERAGE(D78,E78,F78,(11-H78),I78,J78),1))</f>
        <v/>
      </c>
      <c r="P78" s="13">
        <f>IF($A78="","",IF(COUNTIFS(Session!$L$3:$L$202,Q78)=0,"⚠ no Session row","ok"))</f>
        <v/>
      </c>
      <c r="Q78" s="14">
        <f>IF($A78="","",$A78*10+IF($B78="",1,$B78))</f>
        <v/>
      </c>
    </row>
    <row r="79">
      <c r="A79" s="11" t="n"/>
      <c r="G79" s="12" t="n"/>
      <c r="K79" s="12" t="n"/>
      <c r="L79" s="13">
        <f>IF($A79="","",IF(COUNT(D79:F79)&lt;3,"",IF(MIN(D79:F79)&lt;=low_max,"LOW",IF(MIN(D79:F79)&lt;=watch_max,"WATCH","GOOD"))))</f>
        <v/>
      </c>
      <c r="M79" s="13">
        <f>IF($A79="","",IF(COUNT(H79:J79)&lt;3,"",IF(MIN((11-H79),I79,J79)&lt;=low_max,"LOW",IF(MIN((11-H79),I79,J79)&lt;=watch_max,"WATCH","GOOD"))))</f>
        <v/>
      </c>
      <c r="N79" s="13">
        <f>IF(OR(L79="LOW",M79="LOW"),"LOW",IF(OR(L79="WATCH",M79="WATCH"),"WATCH",IF(OR(L79="GOOD",M79="GOOD"),"GOOD","")))</f>
        <v/>
      </c>
      <c r="O79" s="13">
        <f>IF(COUNT(D79:F79,H79:J79)&lt;6,"",ROUND(AVERAGE(D79,E79,F79,(11-H79),I79,J79),1))</f>
        <v/>
      </c>
      <c r="P79" s="13">
        <f>IF($A79="","",IF(COUNTIFS(Session!$L$3:$L$202,Q79)=0,"⚠ no Session row","ok"))</f>
        <v/>
      </c>
      <c r="Q79" s="14">
        <f>IF($A79="","",$A79*10+IF($B79="",1,$B79))</f>
        <v/>
      </c>
    </row>
    <row r="80">
      <c r="A80" s="11" t="n"/>
      <c r="G80" s="12" t="n"/>
      <c r="K80" s="12" t="n"/>
      <c r="L80" s="13">
        <f>IF($A80="","",IF(COUNT(D80:F80)&lt;3,"",IF(MIN(D80:F80)&lt;=low_max,"LOW",IF(MIN(D80:F80)&lt;=watch_max,"WATCH","GOOD"))))</f>
        <v/>
      </c>
      <c r="M80" s="13">
        <f>IF($A80="","",IF(COUNT(H80:J80)&lt;3,"",IF(MIN((11-H80),I80,J80)&lt;=low_max,"LOW",IF(MIN((11-H80),I80,J80)&lt;=watch_max,"WATCH","GOOD"))))</f>
        <v/>
      </c>
      <c r="N80" s="13">
        <f>IF(OR(L80="LOW",M80="LOW"),"LOW",IF(OR(L80="WATCH",M80="WATCH"),"WATCH",IF(OR(L80="GOOD",M80="GOOD"),"GOOD","")))</f>
        <v/>
      </c>
      <c r="O80" s="13">
        <f>IF(COUNT(D80:F80,H80:J80)&lt;6,"",ROUND(AVERAGE(D80,E80,F80,(11-H80),I80,J80),1))</f>
        <v/>
      </c>
      <c r="P80" s="13">
        <f>IF($A80="","",IF(COUNTIFS(Session!$L$3:$L$202,Q80)=0,"⚠ no Session row","ok"))</f>
        <v/>
      </c>
      <c r="Q80" s="14">
        <f>IF($A80="","",$A80*10+IF($B80="",1,$B80))</f>
        <v/>
      </c>
    </row>
    <row r="81">
      <c r="A81" s="11" t="n"/>
      <c r="G81" s="12" t="n"/>
      <c r="K81" s="12" t="n"/>
      <c r="L81" s="13">
        <f>IF($A81="","",IF(COUNT(D81:F81)&lt;3,"",IF(MIN(D81:F81)&lt;=low_max,"LOW",IF(MIN(D81:F81)&lt;=watch_max,"WATCH","GOOD"))))</f>
        <v/>
      </c>
      <c r="M81" s="13">
        <f>IF($A81="","",IF(COUNT(H81:J81)&lt;3,"",IF(MIN((11-H81),I81,J81)&lt;=low_max,"LOW",IF(MIN((11-H81),I81,J81)&lt;=watch_max,"WATCH","GOOD"))))</f>
        <v/>
      </c>
      <c r="N81" s="13">
        <f>IF(OR(L81="LOW",M81="LOW"),"LOW",IF(OR(L81="WATCH",M81="WATCH"),"WATCH",IF(OR(L81="GOOD",M81="GOOD"),"GOOD","")))</f>
        <v/>
      </c>
      <c r="O81" s="13">
        <f>IF(COUNT(D81:F81,H81:J81)&lt;6,"",ROUND(AVERAGE(D81,E81,F81,(11-H81),I81,J81),1))</f>
        <v/>
      </c>
      <c r="P81" s="13">
        <f>IF($A81="","",IF(COUNTIFS(Session!$L$3:$L$202,Q81)=0,"⚠ no Session row","ok"))</f>
        <v/>
      </c>
      <c r="Q81" s="14">
        <f>IF($A81="","",$A81*10+IF($B81="",1,$B81))</f>
        <v/>
      </c>
    </row>
    <row r="82">
      <c r="A82" s="11" t="n"/>
      <c r="G82" s="12" t="n"/>
      <c r="K82" s="12" t="n"/>
      <c r="L82" s="13">
        <f>IF($A82="","",IF(COUNT(D82:F82)&lt;3,"",IF(MIN(D82:F82)&lt;=low_max,"LOW",IF(MIN(D82:F82)&lt;=watch_max,"WATCH","GOOD"))))</f>
        <v/>
      </c>
      <c r="M82" s="13">
        <f>IF($A82="","",IF(COUNT(H82:J82)&lt;3,"",IF(MIN((11-H82),I82,J82)&lt;=low_max,"LOW",IF(MIN((11-H82),I82,J82)&lt;=watch_max,"WATCH","GOOD"))))</f>
        <v/>
      </c>
      <c r="N82" s="13">
        <f>IF(OR(L82="LOW",M82="LOW"),"LOW",IF(OR(L82="WATCH",M82="WATCH"),"WATCH",IF(OR(L82="GOOD",M82="GOOD"),"GOOD","")))</f>
        <v/>
      </c>
      <c r="O82" s="13">
        <f>IF(COUNT(D82:F82,H82:J82)&lt;6,"",ROUND(AVERAGE(D82,E82,F82,(11-H82),I82,J82),1))</f>
        <v/>
      </c>
      <c r="P82" s="13">
        <f>IF($A82="","",IF(COUNTIFS(Session!$L$3:$L$202,Q82)=0,"⚠ no Session row","ok"))</f>
        <v/>
      </c>
      <c r="Q82" s="14">
        <f>IF($A82="","",$A82*10+IF($B82="",1,$B82))</f>
        <v/>
      </c>
    </row>
    <row r="83">
      <c r="A83" s="11" t="n"/>
      <c r="G83" s="12" t="n"/>
      <c r="K83" s="12" t="n"/>
      <c r="L83" s="13">
        <f>IF($A83="","",IF(COUNT(D83:F83)&lt;3,"",IF(MIN(D83:F83)&lt;=low_max,"LOW",IF(MIN(D83:F83)&lt;=watch_max,"WATCH","GOOD"))))</f>
        <v/>
      </c>
      <c r="M83" s="13">
        <f>IF($A83="","",IF(COUNT(H83:J83)&lt;3,"",IF(MIN((11-H83),I83,J83)&lt;=low_max,"LOW",IF(MIN((11-H83),I83,J83)&lt;=watch_max,"WATCH","GOOD"))))</f>
        <v/>
      </c>
      <c r="N83" s="13">
        <f>IF(OR(L83="LOW",M83="LOW"),"LOW",IF(OR(L83="WATCH",M83="WATCH"),"WATCH",IF(OR(L83="GOOD",M83="GOOD"),"GOOD","")))</f>
        <v/>
      </c>
      <c r="O83" s="13">
        <f>IF(COUNT(D83:F83,H83:J83)&lt;6,"",ROUND(AVERAGE(D83,E83,F83,(11-H83),I83,J83),1))</f>
        <v/>
      </c>
      <c r="P83" s="13">
        <f>IF($A83="","",IF(COUNTIFS(Session!$L$3:$L$202,Q83)=0,"⚠ no Session row","ok"))</f>
        <v/>
      </c>
      <c r="Q83" s="14">
        <f>IF($A83="","",$A83*10+IF($B83="",1,$B83))</f>
        <v/>
      </c>
    </row>
    <row r="84">
      <c r="A84" s="11" t="n"/>
      <c r="G84" s="12" t="n"/>
      <c r="K84" s="12" t="n"/>
      <c r="L84" s="13">
        <f>IF($A84="","",IF(COUNT(D84:F84)&lt;3,"",IF(MIN(D84:F84)&lt;=low_max,"LOW",IF(MIN(D84:F84)&lt;=watch_max,"WATCH","GOOD"))))</f>
        <v/>
      </c>
      <c r="M84" s="13">
        <f>IF($A84="","",IF(COUNT(H84:J84)&lt;3,"",IF(MIN((11-H84),I84,J84)&lt;=low_max,"LOW",IF(MIN((11-H84),I84,J84)&lt;=watch_max,"WATCH","GOOD"))))</f>
        <v/>
      </c>
      <c r="N84" s="13">
        <f>IF(OR(L84="LOW",M84="LOW"),"LOW",IF(OR(L84="WATCH",M84="WATCH"),"WATCH",IF(OR(L84="GOOD",M84="GOOD"),"GOOD","")))</f>
        <v/>
      </c>
      <c r="O84" s="13">
        <f>IF(COUNT(D84:F84,H84:J84)&lt;6,"",ROUND(AVERAGE(D84,E84,F84,(11-H84),I84,J84),1))</f>
        <v/>
      </c>
      <c r="P84" s="13">
        <f>IF($A84="","",IF(COUNTIFS(Session!$L$3:$L$202,Q84)=0,"⚠ no Session row","ok"))</f>
        <v/>
      </c>
      <c r="Q84" s="14">
        <f>IF($A84="","",$A84*10+IF($B84="",1,$B84))</f>
        <v/>
      </c>
    </row>
    <row r="85">
      <c r="A85" s="11" t="n"/>
      <c r="G85" s="12" t="n"/>
      <c r="K85" s="12" t="n"/>
      <c r="L85" s="13">
        <f>IF($A85="","",IF(COUNT(D85:F85)&lt;3,"",IF(MIN(D85:F85)&lt;=low_max,"LOW",IF(MIN(D85:F85)&lt;=watch_max,"WATCH","GOOD"))))</f>
        <v/>
      </c>
      <c r="M85" s="13">
        <f>IF($A85="","",IF(COUNT(H85:J85)&lt;3,"",IF(MIN((11-H85),I85,J85)&lt;=low_max,"LOW",IF(MIN((11-H85),I85,J85)&lt;=watch_max,"WATCH","GOOD"))))</f>
        <v/>
      </c>
      <c r="N85" s="13">
        <f>IF(OR(L85="LOW",M85="LOW"),"LOW",IF(OR(L85="WATCH",M85="WATCH"),"WATCH",IF(OR(L85="GOOD",M85="GOOD"),"GOOD","")))</f>
        <v/>
      </c>
      <c r="O85" s="13">
        <f>IF(COUNT(D85:F85,H85:J85)&lt;6,"",ROUND(AVERAGE(D85,E85,F85,(11-H85),I85,J85),1))</f>
        <v/>
      </c>
      <c r="P85" s="13">
        <f>IF($A85="","",IF(COUNTIFS(Session!$L$3:$L$202,Q85)=0,"⚠ no Session row","ok"))</f>
        <v/>
      </c>
      <c r="Q85" s="14">
        <f>IF($A85="","",$A85*10+IF($B85="",1,$B85))</f>
        <v/>
      </c>
    </row>
    <row r="86">
      <c r="A86" s="11" t="n"/>
      <c r="G86" s="12" t="n"/>
      <c r="K86" s="12" t="n"/>
      <c r="L86" s="13">
        <f>IF($A86="","",IF(COUNT(D86:F86)&lt;3,"",IF(MIN(D86:F86)&lt;=low_max,"LOW",IF(MIN(D86:F86)&lt;=watch_max,"WATCH","GOOD"))))</f>
        <v/>
      </c>
      <c r="M86" s="13">
        <f>IF($A86="","",IF(COUNT(H86:J86)&lt;3,"",IF(MIN((11-H86),I86,J86)&lt;=low_max,"LOW",IF(MIN((11-H86),I86,J86)&lt;=watch_max,"WATCH","GOOD"))))</f>
        <v/>
      </c>
      <c r="N86" s="13">
        <f>IF(OR(L86="LOW",M86="LOW"),"LOW",IF(OR(L86="WATCH",M86="WATCH"),"WATCH",IF(OR(L86="GOOD",M86="GOOD"),"GOOD","")))</f>
        <v/>
      </c>
      <c r="O86" s="13">
        <f>IF(COUNT(D86:F86,H86:J86)&lt;6,"",ROUND(AVERAGE(D86,E86,F86,(11-H86),I86,J86),1))</f>
        <v/>
      </c>
      <c r="P86" s="13">
        <f>IF($A86="","",IF(COUNTIFS(Session!$L$3:$L$202,Q86)=0,"⚠ no Session row","ok"))</f>
        <v/>
      </c>
      <c r="Q86" s="14">
        <f>IF($A86="","",$A86*10+IF($B86="",1,$B86))</f>
        <v/>
      </c>
    </row>
    <row r="87">
      <c r="A87" s="11" t="n"/>
      <c r="G87" s="12" t="n"/>
      <c r="K87" s="12" t="n"/>
      <c r="L87" s="13">
        <f>IF($A87="","",IF(COUNT(D87:F87)&lt;3,"",IF(MIN(D87:F87)&lt;=low_max,"LOW",IF(MIN(D87:F87)&lt;=watch_max,"WATCH","GOOD"))))</f>
        <v/>
      </c>
      <c r="M87" s="13">
        <f>IF($A87="","",IF(COUNT(H87:J87)&lt;3,"",IF(MIN((11-H87),I87,J87)&lt;=low_max,"LOW",IF(MIN((11-H87),I87,J87)&lt;=watch_max,"WATCH","GOOD"))))</f>
        <v/>
      </c>
      <c r="N87" s="13">
        <f>IF(OR(L87="LOW",M87="LOW"),"LOW",IF(OR(L87="WATCH",M87="WATCH"),"WATCH",IF(OR(L87="GOOD",M87="GOOD"),"GOOD","")))</f>
        <v/>
      </c>
      <c r="O87" s="13">
        <f>IF(COUNT(D87:F87,H87:J87)&lt;6,"",ROUND(AVERAGE(D87,E87,F87,(11-H87),I87,J87),1))</f>
        <v/>
      </c>
      <c r="P87" s="13">
        <f>IF($A87="","",IF(COUNTIFS(Session!$L$3:$L$202,Q87)=0,"⚠ no Session row","ok"))</f>
        <v/>
      </c>
      <c r="Q87" s="14">
        <f>IF($A87="","",$A87*10+IF($B87="",1,$B87))</f>
        <v/>
      </c>
    </row>
    <row r="88">
      <c r="A88" s="11" t="n"/>
      <c r="G88" s="12" t="n"/>
      <c r="K88" s="12" t="n"/>
      <c r="L88" s="13">
        <f>IF($A88="","",IF(COUNT(D88:F88)&lt;3,"",IF(MIN(D88:F88)&lt;=low_max,"LOW",IF(MIN(D88:F88)&lt;=watch_max,"WATCH","GOOD"))))</f>
        <v/>
      </c>
      <c r="M88" s="13">
        <f>IF($A88="","",IF(COUNT(H88:J88)&lt;3,"",IF(MIN((11-H88),I88,J88)&lt;=low_max,"LOW",IF(MIN((11-H88),I88,J88)&lt;=watch_max,"WATCH","GOOD"))))</f>
        <v/>
      </c>
      <c r="N88" s="13">
        <f>IF(OR(L88="LOW",M88="LOW"),"LOW",IF(OR(L88="WATCH",M88="WATCH"),"WATCH",IF(OR(L88="GOOD",M88="GOOD"),"GOOD","")))</f>
        <v/>
      </c>
      <c r="O88" s="13">
        <f>IF(COUNT(D88:F88,H88:J88)&lt;6,"",ROUND(AVERAGE(D88,E88,F88,(11-H88),I88,J88),1))</f>
        <v/>
      </c>
      <c r="P88" s="13">
        <f>IF($A88="","",IF(COUNTIFS(Session!$L$3:$L$202,Q88)=0,"⚠ no Session row","ok"))</f>
        <v/>
      </c>
      <c r="Q88" s="14">
        <f>IF($A88="","",$A88*10+IF($B88="",1,$B88))</f>
        <v/>
      </c>
    </row>
    <row r="89">
      <c r="A89" s="11" t="n"/>
      <c r="G89" s="12" t="n"/>
      <c r="K89" s="12" t="n"/>
      <c r="L89" s="13">
        <f>IF($A89="","",IF(COUNT(D89:F89)&lt;3,"",IF(MIN(D89:F89)&lt;=low_max,"LOW",IF(MIN(D89:F89)&lt;=watch_max,"WATCH","GOOD"))))</f>
        <v/>
      </c>
      <c r="M89" s="13">
        <f>IF($A89="","",IF(COUNT(H89:J89)&lt;3,"",IF(MIN((11-H89),I89,J89)&lt;=low_max,"LOW",IF(MIN((11-H89),I89,J89)&lt;=watch_max,"WATCH","GOOD"))))</f>
        <v/>
      </c>
      <c r="N89" s="13">
        <f>IF(OR(L89="LOW",M89="LOW"),"LOW",IF(OR(L89="WATCH",M89="WATCH"),"WATCH",IF(OR(L89="GOOD",M89="GOOD"),"GOOD","")))</f>
        <v/>
      </c>
      <c r="O89" s="13">
        <f>IF(COUNT(D89:F89,H89:J89)&lt;6,"",ROUND(AVERAGE(D89,E89,F89,(11-H89),I89,J89),1))</f>
        <v/>
      </c>
      <c r="P89" s="13">
        <f>IF($A89="","",IF(COUNTIFS(Session!$L$3:$L$202,Q89)=0,"⚠ no Session row","ok"))</f>
        <v/>
      </c>
      <c r="Q89" s="14">
        <f>IF($A89="","",$A89*10+IF($B89="",1,$B89))</f>
        <v/>
      </c>
    </row>
    <row r="90">
      <c r="A90" s="11" t="n"/>
      <c r="G90" s="12" t="n"/>
      <c r="K90" s="12" t="n"/>
      <c r="L90" s="13">
        <f>IF($A90="","",IF(COUNT(D90:F90)&lt;3,"",IF(MIN(D90:F90)&lt;=low_max,"LOW",IF(MIN(D90:F90)&lt;=watch_max,"WATCH","GOOD"))))</f>
        <v/>
      </c>
      <c r="M90" s="13">
        <f>IF($A90="","",IF(COUNT(H90:J90)&lt;3,"",IF(MIN((11-H90),I90,J90)&lt;=low_max,"LOW",IF(MIN((11-H90),I90,J90)&lt;=watch_max,"WATCH","GOOD"))))</f>
        <v/>
      </c>
      <c r="N90" s="13">
        <f>IF(OR(L90="LOW",M90="LOW"),"LOW",IF(OR(L90="WATCH",M90="WATCH"),"WATCH",IF(OR(L90="GOOD",M90="GOOD"),"GOOD","")))</f>
        <v/>
      </c>
      <c r="O90" s="13">
        <f>IF(COUNT(D90:F90,H90:J90)&lt;6,"",ROUND(AVERAGE(D90,E90,F90,(11-H90),I90,J90),1))</f>
        <v/>
      </c>
      <c r="P90" s="13">
        <f>IF($A90="","",IF(COUNTIFS(Session!$L$3:$L$202,Q90)=0,"⚠ no Session row","ok"))</f>
        <v/>
      </c>
      <c r="Q90" s="14">
        <f>IF($A90="","",$A90*10+IF($B90="",1,$B90))</f>
        <v/>
      </c>
    </row>
    <row r="91">
      <c r="A91" s="11" t="n"/>
      <c r="G91" s="12" t="n"/>
      <c r="K91" s="12" t="n"/>
      <c r="L91" s="13">
        <f>IF($A91="","",IF(COUNT(D91:F91)&lt;3,"",IF(MIN(D91:F91)&lt;=low_max,"LOW",IF(MIN(D91:F91)&lt;=watch_max,"WATCH","GOOD"))))</f>
        <v/>
      </c>
      <c r="M91" s="13">
        <f>IF($A91="","",IF(COUNT(H91:J91)&lt;3,"",IF(MIN((11-H91),I91,J91)&lt;=low_max,"LOW",IF(MIN((11-H91),I91,J91)&lt;=watch_max,"WATCH","GOOD"))))</f>
        <v/>
      </c>
      <c r="N91" s="13">
        <f>IF(OR(L91="LOW",M91="LOW"),"LOW",IF(OR(L91="WATCH",M91="WATCH"),"WATCH",IF(OR(L91="GOOD",M91="GOOD"),"GOOD","")))</f>
        <v/>
      </c>
      <c r="O91" s="13">
        <f>IF(COUNT(D91:F91,H91:J91)&lt;6,"",ROUND(AVERAGE(D91,E91,F91,(11-H91),I91,J91),1))</f>
        <v/>
      </c>
      <c r="P91" s="13">
        <f>IF($A91="","",IF(COUNTIFS(Session!$L$3:$L$202,Q91)=0,"⚠ no Session row","ok"))</f>
        <v/>
      </c>
      <c r="Q91" s="14">
        <f>IF($A91="","",$A91*10+IF($B91="",1,$B91))</f>
        <v/>
      </c>
    </row>
    <row r="92">
      <c r="A92" s="11" t="n"/>
      <c r="G92" s="12" t="n"/>
      <c r="K92" s="12" t="n"/>
      <c r="L92" s="13">
        <f>IF($A92="","",IF(COUNT(D92:F92)&lt;3,"",IF(MIN(D92:F92)&lt;=low_max,"LOW",IF(MIN(D92:F92)&lt;=watch_max,"WATCH","GOOD"))))</f>
        <v/>
      </c>
      <c r="M92" s="13">
        <f>IF($A92="","",IF(COUNT(H92:J92)&lt;3,"",IF(MIN((11-H92),I92,J92)&lt;=low_max,"LOW",IF(MIN((11-H92),I92,J92)&lt;=watch_max,"WATCH","GOOD"))))</f>
        <v/>
      </c>
      <c r="N92" s="13">
        <f>IF(OR(L92="LOW",M92="LOW"),"LOW",IF(OR(L92="WATCH",M92="WATCH"),"WATCH",IF(OR(L92="GOOD",M92="GOOD"),"GOOD","")))</f>
        <v/>
      </c>
      <c r="O92" s="13">
        <f>IF(COUNT(D92:F92,H92:J92)&lt;6,"",ROUND(AVERAGE(D92,E92,F92,(11-H92),I92,J92),1))</f>
        <v/>
      </c>
      <c r="P92" s="13">
        <f>IF($A92="","",IF(COUNTIFS(Session!$L$3:$L$202,Q92)=0,"⚠ no Session row","ok"))</f>
        <v/>
      </c>
      <c r="Q92" s="14">
        <f>IF($A92="","",$A92*10+IF($B92="",1,$B92))</f>
        <v/>
      </c>
    </row>
    <row r="93">
      <c r="A93" s="11" t="n"/>
      <c r="G93" s="12" t="n"/>
      <c r="K93" s="12" t="n"/>
      <c r="L93" s="13">
        <f>IF($A93="","",IF(COUNT(D93:F93)&lt;3,"",IF(MIN(D93:F93)&lt;=low_max,"LOW",IF(MIN(D93:F93)&lt;=watch_max,"WATCH","GOOD"))))</f>
        <v/>
      </c>
      <c r="M93" s="13">
        <f>IF($A93="","",IF(COUNT(H93:J93)&lt;3,"",IF(MIN((11-H93),I93,J93)&lt;=low_max,"LOW",IF(MIN((11-H93),I93,J93)&lt;=watch_max,"WATCH","GOOD"))))</f>
        <v/>
      </c>
      <c r="N93" s="13">
        <f>IF(OR(L93="LOW",M93="LOW"),"LOW",IF(OR(L93="WATCH",M93="WATCH"),"WATCH",IF(OR(L93="GOOD",M93="GOOD"),"GOOD","")))</f>
        <v/>
      </c>
      <c r="O93" s="13">
        <f>IF(COUNT(D93:F93,H93:J93)&lt;6,"",ROUND(AVERAGE(D93,E93,F93,(11-H93),I93,J93),1))</f>
        <v/>
      </c>
      <c r="P93" s="13">
        <f>IF($A93="","",IF(COUNTIFS(Session!$L$3:$L$202,Q93)=0,"⚠ no Session row","ok"))</f>
        <v/>
      </c>
      <c r="Q93" s="14">
        <f>IF($A93="","",$A93*10+IF($B93="",1,$B93))</f>
        <v/>
      </c>
    </row>
    <row r="94">
      <c r="A94" s="11" t="n"/>
      <c r="G94" s="12" t="n"/>
      <c r="K94" s="12" t="n"/>
      <c r="L94" s="13">
        <f>IF($A94="","",IF(COUNT(D94:F94)&lt;3,"",IF(MIN(D94:F94)&lt;=low_max,"LOW",IF(MIN(D94:F94)&lt;=watch_max,"WATCH","GOOD"))))</f>
        <v/>
      </c>
      <c r="M94" s="13">
        <f>IF($A94="","",IF(COUNT(H94:J94)&lt;3,"",IF(MIN((11-H94),I94,J94)&lt;=low_max,"LOW",IF(MIN((11-H94),I94,J94)&lt;=watch_max,"WATCH","GOOD"))))</f>
        <v/>
      </c>
      <c r="N94" s="13">
        <f>IF(OR(L94="LOW",M94="LOW"),"LOW",IF(OR(L94="WATCH",M94="WATCH"),"WATCH",IF(OR(L94="GOOD",M94="GOOD"),"GOOD","")))</f>
        <v/>
      </c>
      <c r="O94" s="13">
        <f>IF(COUNT(D94:F94,H94:J94)&lt;6,"",ROUND(AVERAGE(D94,E94,F94,(11-H94),I94,J94),1))</f>
        <v/>
      </c>
      <c r="P94" s="13">
        <f>IF($A94="","",IF(COUNTIFS(Session!$L$3:$L$202,Q94)=0,"⚠ no Session row","ok"))</f>
        <v/>
      </c>
      <c r="Q94" s="14">
        <f>IF($A94="","",$A94*10+IF($B94="",1,$B94))</f>
        <v/>
      </c>
    </row>
    <row r="95">
      <c r="A95" s="11" t="n"/>
      <c r="G95" s="12" t="n"/>
      <c r="K95" s="12" t="n"/>
      <c r="L95" s="13">
        <f>IF($A95="","",IF(COUNT(D95:F95)&lt;3,"",IF(MIN(D95:F95)&lt;=low_max,"LOW",IF(MIN(D95:F95)&lt;=watch_max,"WATCH","GOOD"))))</f>
        <v/>
      </c>
      <c r="M95" s="13">
        <f>IF($A95="","",IF(COUNT(H95:J95)&lt;3,"",IF(MIN((11-H95),I95,J95)&lt;=low_max,"LOW",IF(MIN((11-H95),I95,J95)&lt;=watch_max,"WATCH","GOOD"))))</f>
        <v/>
      </c>
      <c r="N95" s="13">
        <f>IF(OR(L95="LOW",M95="LOW"),"LOW",IF(OR(L95="WATCH",M95="WATCH"),"WATCH",IF(OR(L95="GOOD",M95="GOOD"),"GOOD","")))</f>
        <v/>
      </c>
      <c r="O95" s="13">
        <f>IF(COUNT(D95:F95,H95:J95)&lt;6,"",ROUND(AVERAGE(D95,E95,F95,(11-H95),I95,J95),1))</f>
        <v/>
      </c>
      <c r="P95" s="13">
        <f>IF($A95="","",IF(COUNTIFS(Session!$L$3:$L$202,Q95)=0,"⚠ no Session row","ok"))</f>
        <v/>
      </c>
      <c r="Q95" s="14">
        <f>IF($A95="","",$A95*10+IF($B95="",1,$B95))</f>
        <v/>
      </c>
    </row>
    <row r="96">
      <c r="A96" s="11" t="n"/>
      <c r="G96" s="12" t="n"/>
      <c r="K96" s="12" t="n"/>
      <c r="L96" s="13">
        <f>IF($A96="","",IF(COUNT(D96:F96)&lt;3,"",IF(MIN(D96:F96)&lt;=low_max,"LOW",IF(MIN(D96:F96)&lt;=watch_max,"WATCH","GOOD"))))</f>
        <v/>
      </c>
      <c r="M96" s="13">
        <f>IF($A96="","",IF(COUNT(H96:J96)&lt;3,"",IF(MIN((11-H96),I96,J96)&lt;=low_max,"LOW",IF(MIN((11-H96),I96,J96)&lt;=watch_max,"WATCH","GOOD"))))</f>
        <v/>
      </c>
      <c r="N96" s="13">
        <f>IF(OR(L96="LOW",M96="LOW"),"LOW",IF(OR(L96="WATCH",M96="WATCH"),"WATCH",IF(OR(L96="GOOD",M96="GOOD"),"GOOD","")))</f>
        <v/>
      </c>
      <c r="O96" s="13">
        <f>IF(COUNT(D96:F96,H96:J96)&lt;6,"",ROUND(AVERAGE(D96,E96,F96,(11-H96),I96,J96),1))</f>
        <v/>
      </c>
      <c r="P96" s="13">
        <f>IF($A96="","",IF(COUNTIFS(Session!$L$3:$L$202,Q96)=0,"⚠ no Session row","ok"))</f>
        <v/>
      </c>
      <c r="Q96" s="14">
        <f>IF($A96="","",$A96*10+IF($B96="",1,$B96))</f>
        <v/>
      </c>
    </row>
    <row r="97">
      <c r="A97" s="11" t="n"/>
      <c r="G97" s="12" t="n"/>
      <c r="K97" s="12" t="n"/>
      <c r="L97" s="13">
        <f>IF($A97="","",IF(COUNT(D97:F97)&lt;3,"",IF(MIN(D97:F97)&lt;=low_max,"LOW",IF(MIN(D97:F97)&lt;=watch_max,"WATCH","GOOD"))))</f>
        <v/>
      </c>
      <c r="M97" s="13">
        <f>IF($A97="","",IF(COUNT(H97:J97)&lt;3,"",IF(MIN((11-H97),I97,J97)&lt;=low_max,"LOW",IF(MIN((11-H97),I97,J97)&lt;=watch_max,"WATCH","GOOD"))))</f>
        <v/>
      </c>
      <c r="N97" s="13">
        <f>IF(OR(L97="LOW",M97="LOW"),"LOW",IF(OR(L97="WATCH",M97="WATCH"),"WATCH",IF(OR(L97="GOOD",M97="GOOD"),"GOOD","")))</f>
        <v/>
      </c>
      <c r="O97" s="13">
        <f>IF(COUNT(D97:F97,H97:J97)&lt;6,"",ROUND(AVERAGE(D97,E97,F97,(11-H97),I97,J97),1))</f>
        <v/>
      </c>
      <c r="P97" s="13">
        <f>IF($A97="","",IF(COUNTIFS(Session!$L$3:$L$202,Q97)=0,"⚠ no Session row","ok"))</f>
        <v/>
      </c>
      <c r="Q97" s="14">
        <f>IF($A97="","",$A97*10+IF($B97="",1,$B97))</f>
        <v/>
      </c>
    </row>
    <row r="98">
      <c r="A98" s="11" t="n"/>
      <c r="G98" s="12" t="n"/>
      <c r="K98" s="12" t="n"/>
      <c r="L98" s="13">
        <f>IF($A98="","",IF(COUNT(D98:F98)&lt;3,"",IF(MIN(D98:F98)&lt;=low_max,"LOW",IF(MIN(D98:F98)&lt;=watch_max,"WATCH","GOOD"))))</f>
        <v/>
      </c>
      <c r="M98" s="13">
        <f>IF($A98="","",IF(COUNT(H98:J98)&lt;3,"",IF(MIN((11-H98),I98,J98)&lt;=low_max,"LOW",IF(MIN((11-H98),I98,J98)&lt;=watch_max,"WATCH","GOOD"))))</f>
        <v/>
      </c>
      <c r="N98" s="13">
        <f>IF(OR(L98="LOW",M98="LOW"),"LOW",IF(OR(L98="WATCH",M98="WATCH"),"WATCH",IF(OR(L98="GOOD",M98="GOOD"),"GOOD","")))</f>
        <v/>
      </c>
      <c r="O98" s="13">
        <f>IF(COUNT(D98:F98,H98:J98)&lt;6,"",ROUND(AVERAGE(D98,E98,F98,(11-H98),I98,J98),1))</f>
        <v/>
      </c>
      <c r="P98" s="13">
        <f>IF($A98="","",IF(COUNTIFS(Session!$L$3:$L$202,Q98)=0,"⚠ no Session row","ok"))</f>
        <v/>
      </c>
      <c r="Q98" s="14">
        <f>IF($A98="","",$A98*10+IF($B98="",1,$B98))</f>
        <v/>
      </c>
    </row>
    <row r="99">
      <c r="A99" s="11" t="n"/>
      <c r="G99" s="12" t="n"/>
      <c r="K99" s="12" t="n"/>
      <c r="L99" s="13">
        <f>IF($A99="","",IF(COUNT(D99:F99)&lt;3,"",IF(MIN(D99:F99)&lt;=low_max,"LOW",IF(MIN(D99:F99)&lt;=watch_max,"WATCH","GOOD"))))</f>
        <v/>
      </c>
      <c r="M99" s="13">
        <f>IF($A99="","",IF(COUNT(H99:J99)&lt;3,"",IF(MIN((11-H99),I99,J99)&lt;=low_max,"LOW",IF(MIN((11-H99),I99,J99)&lt;=watch_max,"WATCH","GOOD"))))</f>
        <v/>
      </c>
      <c r="N99" s="13">
        <f>IF(OR(L99="LOW",M99="LOW"),"LOW",IF(OR(L99="WATCH",M99="WATCH"),"WATCH",IF(OR(L99="GOOD",M99="GOOD"),"GOOD","")))</f>
        <v/>
      </c>
      <c r="O99" s="13">
        <f>IF(COUNT(D99:F99,H99:J99)&lt;6,"",ROUND(AVERAGE(D99,E99,F99,(11-H99),I99,J99),1))</f>
        <v/>
      </c>
      <c r="P99" s="13">
        <f>IF($A99="","",IF(COUNTIFS(Session!$L$3:$L$202,Q99)=0,"⚠ no Session row","ok"))</f>
        <v/>
      </c>
      <c r="Q99" s="14">
        <f>IF($A99="","",$A99*10+IF($B99="",1,$B99))</f>
        <v/>
      </c>
    </row>
    <row r="100">
      <c r="A100" s="11" t="n"/>
      <c r="G100" s="12" t="n"/>
      <c r="K100" s="12" t="n"/>
      <c r="L100" s="13">
        <f>IF($A100="","",IF(COUNT(D100:F100)&lt;3,"",IF(MIN(D100:F100)&lt;=low_max,"LOW",IF(MIN(D100:F100)&lt;=watch_max,"WATCH","GOOD"))))</f>
        <v/>
      </c>
      <c r="M100" s="13">
        <f>IF($A100="","",IF(COUNT(H100:J100)&lt;3,"",IF(MIN((11-H100),I100,J100)&lt;=low_max,"LOW",IF(MIN((11-H100),I100,J100)&lt;=watch_max,"WATCH","GOOD"))))</f>
        <v/>
      </c>
      <c r="N100" s="13">
        <f>IF(OR(L100="LOW",M100="LOW"),"LOW",IF(OR(L100="WATCH",M100="WATCH"),"WATCH",IF(OR(L100="GOOD",M100="GOOD"),"GOOD","")))</f>
        <v/>
      </c>
      <c r="O100" s="13">
        <f>IF(COUNT(D100:F100,H100:J100)&lt;6,"",ROUND(AVERAGE(D100,E100,F100,(11-H100),I100,J100),1))</f>
        <v/>
      </c>
      <c r="P100" s="13">
        <f>IF($A100="","",IF(COUNTIFS(Session!$L$3:$L$202,Q100)=0,"⚠ no Session row","ok"))</f>
        <v/>
      </c>
      <c r="Q100" s="14">
        <f>IF($A100="","",$A100*10+IF($B100="",1,$B100))</f>
        <v/>
      </c>
    </row>
    <row r="101">
      <c r="A101" s="11" t="n"/>
      <c r="G101" s="12" t="n"/>
      <c r="K101" s="12" t="n"/>
      <c r="L101" s="13">
        <f>IF($A101="","",IF(COUNT(D101:F101)&lt;3,"",IF(MIN(D101:F101)&lt;=low_max,"LOW",IF(MIN(D101:F101)&lt;=watch_max,"WATCH","GOOD"))))</f>
        <v/>
      </c>
      <c r="M101" s="13">
        <f>IF($A101="","",IF(COUNT(H101:J101)&lt;3,"",IF(MIN((11-H101),I101,J101)&lt;=low_max,"LOW",IF(MIN((11-H101),I101,J101)&lt;=watch_max,"WATCH","GOOD"))))</f>
        <v/>
      </c>
      <c r="N101" s="13">
        <f>IF(OR(L101="LOW",M101="LOW"),"LOW",IF(OR(L101="WATCH",M101="WATCH"),"WATCH",IF(OR(L101="GOOD",M101="GOOD"),"GOOD","")))</f>
        <v/>
      </c>
      <c r="O101" s="13">
        <f>IF(COUNT(D101:F101,H101:J101)&lt;6,"",ROUND(AVERAGE(D101,E101,F101,(11-H101),I101,J101),1))</f>
        <v/>
      </c>
      <c r="P101" s="13">
        <f>IF($A101="","",IF(COUNTIFS(Session!$L$3:$L$202,Q101)=0,"⚠ no Session row","ok"))</f>
        <v/>
      </c>
      <c r="Q101" s="14">
        <f>IF($A101="","",$A101*10+IF($B101="",1,$B101))</f>
        <v/>
      </c>
    </row>
    <row r="102">
      <c r="A102" s="11" t="n"/>
      <c r="G102" s="12" t="n"/>
      <c r="K102" s="12" t="n"/>
      <c r="L102" s="13">
        <f>IF($A102="","",IF(COUNT(D102:F102)&lt;3,"",IF(MIN(D102:F102)&lt;=low_max,"LOW",IF(MIN(D102:F102)&lt;=watch_max,"WATCH","GOOD"))))</f>
        <v/>
      </c>
      <c r="M102" s="13">
        <f>IF($A102="","",IF(COUNT(H102:J102)&lt;3,"",IF(MIN((11-H102),I102,J102)&lt;=low_max,"LOW",IF(MIN((11-H102),I102,J102)&lt;=watch_max,"WATCH","GOOD"))))</f>
        <v/>
      </c>
      <c r="N102" s="13">
        <f>IF(OR(L102="LOW",M102="LOW"),"LOW",IF(OR(L102="WATCH",M102="WATCH"),"WATCH",IF(OR(L102="GOOD",M102="GOOD"),"GOOD","")))</f>
        <v/>
      </c>
      <c r="O102" s="13">
        <f>IF(COUNT(D102:F102,H102:J102)&lt;6,"",ROUND(AVERAGE(D102,E102,F102,(11-H102),I102,J102),1))</f>
        <v/>
      </c>
      <c r="P102" s="13">
        <f>IF($A102="","",IF(COUNTIFS(Session!$L$3:$L$202,Q102)=0,"⚠ no Session row","ok"))</f>
        <v/>
      </c>
      <c r="Q102" s="14">
        <f>IF($A102="","",$A102*10+IF($B102="",1,$B102))</f>
        <v/>
      </c>
    </row>
    <row r="103">
      <c r="A103" s="11" t="n"/>
      <c r="G103" s="12" t="n"/>
      <c r="K103" s="12" t="n"/>
      <c r="L103" s="13">
        <f>IF($A103="","",IF(COUNT(D103:F103)&lt;3,"",IF(MIN(D103:F103)&lt;=low_max,"LOW",IF(MIN(D103:F103)&lt;=watch_max,"WATCH","GOOD"))))</f>
        <v/>
      </c>
      <c r="M103" s="13">
        <f>IF($A103="","",IF(COUNT(H103:J103)&lt;3,"",IF(MIN((11-H103),I103,J103)&lt;=low_max,"LOW",IF(MIN((11-H103),I103,J103)&lt;=watch_max,"WATCH","GOOD"))))</f>
        <v/>
      </c>
      <c r="N103" s="13">
        <f>IF(OR(L103="LOW",M103="LOW"),"LOW",IF(OR(L103="WATCH",M103="WATCH"),"WATCH",IF(OR(L103="GOOD",M103="GOOD"),"GOOD","")))</f>
        <v/>
      </c>
      <c r="O103" s="13">
        <f>IF(COUNT(D103:F103,H103:J103)&lt;6,"",ROUND(AVERAGE(D103,E103,F103,(11-H103),I103,J103),1))</f>
        <v/>
      </c>
      <c r="P103" s="13">
        <f>IF($A103="","",IF(COUNTIFS(Session!$L$3:$L$202,Q103)=0,"⚠ no Session row","ok"))</f>
        <v/>
      </c>
      <c r="Q103" s="14">
        <f>IF($A103="","",$A103*10+IF($B103="",1,$B103))</f>
        <v/>
      </c>
    </row>
    <row r="104">
      <c r="A104" s="11" t="n"/>
      <c r="G104" s="12" t="n"/>
      <c r="K104" s="12" t="n"/>
      <c r="L104" s="13">
        <f>IF($A104="","",IF(COUNT(D104:F104)&lt;3,"",IF(MIN(D104:F104)&lt;=low_max,"LOW",IF(MIN(D104:F104)&lt;=watch_max,"WATCH","GOOD"))))</f>
        <v/>
      </c>
      <c r="M104" s="13">
        <f>IF($A104="","",IF(COUNT(H104:J104)&lt;3,"",IF(MIN((11-H104),I104,J104)&lt;=low_max,"LOW",IF(MIN((11-H104),I104,J104)&lt;=watch_max,"WATCH","GOOD"))))</f>
        <v/>
      </c>
      <c r="N104" s="13">
        <f>IF(OR(L104="LOW",M104="LOW"),"LOW",IF(OR(L104="WATCH",M104="WATCH"),"WATCH",IF(OR(L104="GOOD",M104="GOOD"),"GOOD","")))</f>
        <v/>
      </c>
      <c r="O104" s="13">
        <f>IF(COUNT(D104:F104,H104:J104)&lt;6,"",ROUND(AVERAGE(D104,E104,F104,(11-H104),I104,J104),1))</f>
        <v/>
      </c>
      <c r="P104" s="13">
        <f>IF($A104="","",IF(COUNTIFS(Session!$L$3:$L$202,Q104)=0,"⚠ no Session row","ok"))</f>
        <v/>
      </c>
      <c r="Q104" s="14">
        <f>IF($A104="","",$A104*10+IF($B104="",1,$B104))</f>
        <v/>
      </c>
    </row>
    <row r="105">
      <c r="A105" s="11" t="n"/>
      <c r="G105" s="12" t="n"/>
      <c r="K105" s="12" t="n"/>
      <c r="L105" s="13">
        <f>IF($A105="","",IF(COUNT(D105:F105)&lt;3,"",IF(MIN(D105:F105)&lt;=low_max,"LOW",IF(MIN(D105:F105)&lt;=watch_max,"WATCH","GOOD"))))</f>
        <v/>
      </c>
      <c r="M105" s="13">
        <f>IF($A105="","",IF(COUNT(H105:J105)&lt;3,"",IF(MIN((11-H105),I105,J105)&lt;=low_max,"LOW",IF(MIN((11-H105),I105,J105)&lt;=watch_max,"WATCH","GOOD"))))</f>
        <v/>
      </c>
      <c r="N105" s="13">
        <f>IF(OR(L105="LOW",M105="LOW"),"LOW",IF(OR(L105="WATCH",M105="WATCH"),"WATCH",IF(OR(L105="GOOD",M105="GOOD"),"GOOD","")))</f>
        <v/>
      </c>
      <c r="O105" s="13">
        <f>IF(COUNT(D105:F105,H105:J105)&lt;6,"",ROUND(AVERAGE(D105,E105,F105,(11-H105),I105,J105),1))</f>
        <v/>
      </c>
      <c r="P105" s="13">
        <f>IF($A105="","",IF(COUNTIFS(Session!$L$3:$L$202,Q105)=0,"⚠ no Session row","ok"))</f>
        <v/>
      </c>
      <c r="Q105" s="14">
        <f>IF($A105="","",$A105*10+IF($B105="",1,$B105))</f>
        <v/>
      </c>
    </row>
    <row r="106">
      <c r="A106" s="11" t="n"/>
      <c r="G106" s="12" t="n"/>
      <c r="K106" s="12" t="n"/>
      <c r="L106" s="13">
        <f>IF($A106="","",IF(COUNT(D106:F106)&lt;3,"",IF(MIN(D106:F106)&lt;=low_max,"LOW",IF(MIN(D106:F106)&lt;=watch_max,"WATCH","GOOD"))))</f>
        <v/>
      </c>
      <c r="M106" s="13">
        <f>IF($A106="","",IF(COUNT(H106:J106)&lt;3,"",IF(MIN((11-H106),I106,J106)&lt;=low_max,"LOW",IF(MIN((11-H106),I106,J106)&lt;=watch_max,"WATCH","GOOD"))))</f>
        <v/>
      </c>
      <c r="N106" s="13">
        <f>IF(OR(L106="LOW",M106="LOW"),"LOW",IF(OR(L106="WATCH",M106="WATCH"),"WATCH",IF(OR(L106="GOOD",M106="GOOD"),"GOOD","")))</f>
        <v/>
      </c>
      <c r="O106" s="13">
        <f>IF(COUNT(D106:F106,H106:J106)&lt;6,"",ROUND(AVERAGE(D106,E106,F106,(11-H106),I106,J106),1))</f>
        <v/>
      </c>
      <c r="P106" s="13">
        <f>IF($A106="","",IF(COUNTIFS(Session!$L$3:$L$202,Q106)=0,"⚠ no Session row","ok"))</f>
        <v/>
      </c>
      <c r="Q106" s="14">
        <f>IF($A106="","",$A106*10+IF($B106="",1,$B106))</f>
        <v/>
      </c>
    </row>
    <row r="107">
      <c r="A107" s="11" t="n"/>
      <c r="G107" s="12" t="n"/>
      <c r="K107" s="12" t="n"/>
      <c r="L107" s="13">
        <f>IF($A107="","",IF(COUNT(D107:F107)&lt;3,"",IF(MIN(D107:F107)&lt;=low_max,"LOW",IF(MIN(D107:F107)&lt;=watch_max,"WATCH","GOOD"))))</f>
        <v/>
      </c>
      <c r="M107" s="13">
        <f>IF($A107="","",IF(COUNT(H107:J107)&lt;3,"",IF(MIN((11-H107),I107,J107)&lt;=low_max,"LOW",IF(MIN((11-H107),I107,J107)&lt;=watch_max,"WATCH","GOOD"))))</f>
        <v/>
      </c>
      <c r="N107" s="13">
        <f>IF(OR(L107="LOW",M107="LOW"),"LOW",IF(OR(L107="WATCH",M107="WATCH"),"WATCH",IF(OR(L107="GOOD",M107="GOOD"),"GOOD","")))</f>
        <v/>
      </c>
      <c r="O107" s="13">
        <f>IF(COUNT(D107:F107,H107:J107)&lt;6,"",ROUND(AVERAGE(D107,E107,F107,(11-H107),I107,J107),1))</f>
        <v/>
      </c>
      <c r="P107" s="13">
        <f>IF($A107="","",IF(COUNTIFS(Session!$L$3:$L$202,Q107)=0,"⚠ no Session row","ok"))</f>
        <v/>
      </c>
      <c r="Q107" s="14">
        <f>IF($A107="","",$A107*10+IF($B107="",1,$B107))</f>
        <v/>
      </c>
    </row>
    <row r="108">
      <c r="A108" s="11" t="n"/>
      <c r="G108" s="12" t="n"/>
      <c r="K108" s="12" t="n"/>
      <c r="L108" s="13">
        <f>IF($A108="","",IF(COUNT(D108:F108)&lt;3,"",IF(MIN(D108:F108)&lt;=low_max,"LOW",IF(MIN(D108:F108)&lt;=watch_max,"WATCH","GOOD"))))</f>
        <v/>
      </c>
      <c r="M108" s="13">
        <f>IF($A108="","",IF(COUNT(H108:J108)&lt;3,"",IF(MIN((11-H108),I108,J108)&lt;=low_max,"LOW",IF(MIN((11-H108),I108,J108)&lt;=watch_max,"WATCH","GOOD"))))</f>
        <v/>
      </c>
      <c r="N108" s="13">
        <f>IF(OR(L108="LOW",M108="LOW"),"LOW",IF(OR(L108="WATCH",M108="WATCH"),"WATCH",IF(OR(L108="GOOD",M108="GOOD"),"GOOD","")))</f>
        <v/>
      </c>
      <c r="O108" s="13">
        <f>IF(COUNT(D108:F108,H108:J108)&lt;6,"",ROUND(AVERAGE(D108,E108,F108,(11-H108),I108,J108),1))</f>
        <v/>
      </c>
      <c r="P108" s="13">
        <f>IF($A108="","",IF(COUNTIFS(Session!$L$3:$L$202,Q108)=0,"⚠ no Session row","ok"))</f>
        <v/>
      </c>
      <c r="Q108" s="14">
        <f>IF($A108="","",$A108*10+IF($B108="",1,$B108))</f>
        <v/>
      </c>
    </row>
    <row r="109">
      <c r="A109" s="11" t="n"/>
      <c r="G109" s="12" t="n"/>
      <c r="K109" s="12" t="n"/>
      <c r="L109" s="13">
        <f>IF($A109="","",IF(COUNT(D109:F109)&lt;3,"",IF(MIN(D109:F109)&lt;=low_max,"LOW",IF(MIN(D109:F109)&lt;=watch_max,"WATCH","GOOD"))))</f>
        <v/>
      </c>
      <c r="M109" s="13">
        <f>IF($A109="","",IF(COUNT(H109:J109)&lt;3,"",IF(MIN((11-H109),I109,J109)&lt;=low_max,"LOW",IF(MIN((11-H109),I109,J109)&lt;=watch_max,"WATCH","GOOD"))))</f>
        <v/>
      </c>
      <c r="N109" s="13">
        <f>IF(OR(L109="LOW",M109="LOW"),"LOW",IF(OR(L109="WATCH",M109="WATCH"),"WATCH",IF(OR(L109="GOOD",M109="GOOD"),"GOOD","")))</f>
        <v/>
      </c>
      <c r="O109" s="13">
        <f>IF(COUNT(D109:F109,H109:J109)&lt;6,"",ROUND(AVERAGE(D109,E109,F109,(11-H109),I109,J109),1))</f>
        <v/>
      </c>
      <c r="P109" s="13">
        <f>IF($A109="","",IF(COUNTIFS(Session!$L$3:$L$202,Q109)=0,"⚠ no Session row","ok"))</f>
        <v/>
      </c>
      <c r="Q109" s="14">
        <f>IF($A109="","",$A109*10+IF($B109="",1,$B109))</f>
        <v/>
      </c>
    </row>
    <row r="110">
      <c r="A110" s="11" t="n"/>
      <c r="G110" s="12" t="n"/>
      <c r="K110" s="12" t="n"/>
      <c r="L110" s="13">
        <f>IF($A110="","",IF(COUNT(D110:F110)&lt;3,"",IF(MIN(D110:F110)&lt;=low_max,"LOW",IF(MIN(D110:F110)&lt;=watch_max,"WATCH","GOOD"))))</f>
        <v/>
      </c>
      <c r="M110" s="13">
        <f>IF($A110="","",IF(COUNT(H110:J110)&lt;3,"",IF(MIN((11-H110),I110,J110)&lt;=low_max,"LOW",IF(MIN((11-H110),I110,J110)&lt;=watch_max,"WATCH","GOOD"))))</f>
        <v/>
      </c>
      <c r="N110" s="13">
        <f>IF(OR(L110="LOW",M110="LOW"),"LOW",IF(OR(L110="WATCH",M110="WATCH"),"WATCH",IF(OR(L110="GOOD",M110="GOOD"),"GOOD","")))</f>
        <v/>
      </c>
      <c r="O110" s="13">
        <f>IF(COUNT(D110:F110,H110:J110)&lt;6,"",ROUND(AVERAGE(D110,E110,F110,(11-H110),I110,J110),1))</f>
        <v/>
      </c>
      <c r="P110" s="13">
        <f>IF($A110="","",IF(COUNTIFS(Session!$L$3:$L$202,Q110)=0,"⚠ no Session row","ok"))</f>
        <v/>
      </c>
      <c r="Q110" s="14">
        <f>IF($A110="","",$A110*10+IF($B110="",1,$B110))</f>
        <v/>
      </c>
    </row>
    <row r="111">
      <c r="A111" s="11" t="n"/>
      <c r="G111" s="12" t="n"/>
      <c r="K111" s="12" t="n"/>
      <c r="L111" s="13">
        <f>IF($A111="","",IF(COUNT(D111:F111)&lt;3,"",IF(MIN(D111:F111)&lt;=low_max,"LOW",IF(MIN(D111:F111)&lt;=watch_max,"WATCH","GOOD"))))</f>
        <v/>
      </c>
      <c r="M111" s="13">
        <f>IF($A111="","",IF(COUNT(H111:J111)&lt;3,"",IF(MIN((11-H111),I111,J111)&lt;=low_max,"LOW",IF(MIN((11-H111),I111,J111)&lt;=watch_max,"WATCH","GOOD"))))</f>
        <v/>
      </c>
      <c r="N111" s="13">
        <f>IF(OR(L111="LOW",M111="LOW"),"LOW",IF(OR(L111="WATCH",M111="WATCH"),"WATCH",IF(OR(L111="GOOD",M111="GOOD"),"GOOD","")))</f>
        <v/>
      </c>
      <c r="O111" s="13">
        <f>IF(COUNT(D111:F111,H111:J111)&lt;6,"",ROUND(AVERAGE(D111,E111,F111,(11-H111),I111,J111),1))</f>
        <v/>
      </c>
      <c r="P111" s="13">
        <f>IF($A111="","",IF(COUNTIFS(Session!$L$3:$L$202,Q111)=0,"⚠ no Session row","ok"))</f>
        <v/>
      </c>
      <c r="Q111" s="14">
        <f>IF($A111="","",$A111*10+IF($B111="",1,$B111))</f>
        <v/>
      </c>
    </row>
    <row r="112">
      <c r="A112" s="11" t="n"/>
      <c r="G112" s="12" t="n"/>
      <c r="K112" s="12" t="n"/>
      <c r="L112" s="13">
        <f>IF($A112="","",IF(COUNT(D112:F112)&lt;3,"",IF(MIN(D112:F112)&lt;=low_max,"LOW",IF(MIN(D112:F112)&lt;=watch_max,"WATCH","GOOD"))))</f>
        <v/>
      </c>
      <c r="M112" s="13">
        <f>IF($A112="","",IF(COUNT(H112:J112)&lt;3,"",IF(MIN((11-H112),I112,J112)&lt;=low_max,"LOW",IF(MIN((11-H112),I112,J112)&lt;=watch_max,"WATCH","GOOD"))))</f>
        <v/>
      </c>
      <c r="N112" s="13">
        <f>IF(OR(L112="LOW",M112="LOW"),"LOW",IF(OR(L112="WATCH",M112="WATCH"),"WATCH",IF(OR(L112="GOOD",M112="GOOD"),"GOOD","")))</f>
        <v/>
      </c>
      <c r="O112" s="13">
        <f>IF(COUNT(D112:F112,H112:J112)&lt;6,"",ROUND(AVERAGE(D112,E112,F112,(11-H112),I112,J112),1))</f>
        <v/>
      </c>
      <c r="P112" s="13">
        <f>IF($A112="","",IF(COUNTIFS(Session!$L$3:$L$202,Q112)=0,"⚠ no Session row","ok"))</f>
        <v/>
      </c>
      <c r="Q112" s="14">
        <f>IF($A112="","",$A112*10+IF($B112="",1,$B112))</f>
        <v/>
      </c>
    </row>
    <row r="113">
      <c r="A113" s="11" t="n"/>
      <c r="G113" s="12" t="n"/>
      <c r="K113" s="12" t="n"/>
      <c r="L113" s="13">
        <f>IF($A113="","",IF(COUNT(D113:F113)&lt;3,"",IF(MIN(D113:F113)&lt;=low_max,"LOW",IF(MIN(D113:F113)&lt;=watch_max,"WATCH","GOOD"))))</f>
        <v/>
      </c>
      <c r="M113" s="13">
        <f>IF($A113="","",IF(COUNT(H113:J113)&lt;3,"",IF(MIN((11-H113),I113,J113)&lt;=low_max,"LOW",IF(MIN((11-H113),I113,J113)&lt;=watch_max,"WATCH","GOOD"))))</f>
        <v/>
      </c>
      <c r="N113" s="13">
        <f>IF(OR(L113="LOW",M113="LOW"),"LOW",IF(OR(L113="WATCH",M113="WATCH"),"WATCH",IF(OR(L113="GOOD",M113="GOOD"),"GOOD","")))</f>
        <v/>
      </c>
      <c r="O113" s="13">
        <f>IF(COUNT(D113:F113,H113:J113)&lt;6,"",ROUND(AVERAGE(D113,E113,F113,(11-H113),I113,J113),1))</f>
        <v/>
      </c>
      <c r="P113" s="13">
        <f>IF($A113="","",IF(COUNTIFS(Session!$L$3:$L$202,Q113)=0,"⚠ no Session row","ok"))</f>
        <v/>
      </c>
      <c r="Q113" s="14">
        <f>IF($A113="","",$A113*10+IF($B113="",1,$B113))</f>
        <v/>
      </c>
    </row>
    <row r="114">
      <c r="A114" s="11" t="n"/>
      <c r="G114" s="12" t="n"/>
      <c r="K114" s="12" t="n"/>
      <c r="L114" s="13">
        <f>IF($A114="","",IF(COUNT(D114:F114)&lt;3,"",IF(MIN(D114:F114)&lt;=low_max,"LOW",IF(MIN(D114:F114)&lt;=watch_max,"WATCH","GOOD"))))</f>
        <v/>
      </c>
      <c r="M114" s="13">
        <f>IF($A114="","",IF(COUNT(H114:J114)&lt;3,"",IF(MIN((11-H114),I114,J114)&lt;=low_max,"LOW",IF(MIN((11-H114),I114,J114)&lt;=watch_max,"WATCH","GOOD"))))</f>
        <v/>
      </c>
      <c r="N114" s="13">
        <f>IF(OR(L114="LOW",M114="LOW"),"LOW",IF(OR(L114="WATCH",M114="WATCH"),"WATCH",IF(OR(L114="GOOD",M114="GOOD"),"GOOD","")))</f>
        <v/>
      </c>
      <c r="O114" s="13">
        <f>IF(COUNT(D114:F114,H114:J114)&lt;6,"",ROUND(AVERAGE(D114,E114,F114,(11-H114),I114,J114),1))</f>
        <v/>
      </c>
      <c r="P114" s="13">
        <f>IF($A114="","",IF(COUNTIFS(Session!$L$3:$L$202,Q114)=0,"⚠ no Session row","ok"))</f>
        <v/>
      </c>
      <c r="Q114" s="14">
        <f>IF($A114="","",$A114*10+IF($B114="",1,$B114))</f>
        <v/>
      </c>
    </row>
    <row r="115">
      <c r="A115" s="11" t="n"/>
      <c r="G115" s="12" t="n"/>
      <c r="K115" s="12" t="n"/>
      <c r="L115" s="13">
        <f>IF($A115="","",IF(COUNT(D115:F115)&lt;3,"",IF(MIN(D115:F115)&lt;=low_max,"LOW",IF(MIN(D115:F115)&lt;=watch_max,"WATCH","GOOD"))))</f>
        <v/>
      </c>
      <c r="M115" s="13">
        <f>IF($A115="","",IF(COUNT(H115:J115)&lt;3,"",IF(MIN((11-H115),I115,J115)&lt;=low_max,"LOW",IF(MIN((11-H115),I115,J115)&lt;=watch_max,"WATCH","GOOD"))))</f>
        <v/>
      </c>
      <c r="N115" s="13">
        <f>IF(OR(L115="LOW",M115="LOW"),"LOW",IF(OR(L115="WATCH",M115="WATCH"),"WATCH",IF(OR(L115="GOOD",M115="GOOD"),"GOOD","")))</f>
        <v/>
      </c>
      <c r="O115" s="13">
        <f>IF(COUNT(D115:F115,H115:J115)&lt;6,"",ROUND(AVERAGE(D115,E115,F115,(11-H115),I115,J115),1))</f>
        <v/>
      </c>
      <c r="P115" s="13">
        <f>IF($A115="","",IF(COUNTIFS(Session!$L$3:$L$202,Q115)=0,"⚠ no Session row","ok"))</f>
        <v/>
      </c>
      <c r="Q115" s="14">
        <f>IF($A115="","",$A115*10+IF($B115="",1,$B115))</f>
        <v/>
      </c>
    </row>
    <row r="116">
      <c r="A116" s="11" t="n"/>
      <c r="G116" s="12" t="n"/>
      <c r="K116" s="12" t="n"/>
      <c r="L116" s="13">
        <f>IF($A116="","",IF(COUNT(D116:F116)&lt;3,"",IF(MIN(D116:F116)&lt;=low_max,"LOW",IF(MIN(D116:F116)&lt;=watch_max,"WATCH","GOOD"))))</f>
        <v/>
      </c>
      <c r="M116" s="13">
        <f>IF($A116="","",IF(COUNT(H116:J116)&lt;3,"",IF(MIN((11-H116),I116,J116)&lt;=low_max,"LOW",IF(MIN((11-H116),I116,J116)&lt;=watch_max,"WATCH","GOOD"))))</f>
        <v/>
      </c>
      <c r="N116" s="13">
        <f>IF(OR(L116="LOW",M116="LOW"),"LOW",IF(OR(L116="WATCH",M116="WATCH"),"WATCH",IF(OR(L116="GOOD",M116="GOOD"),"GOOD","")))</f>
        <v/>
      </c>
      <c r="O116" s="13">
        <f>IF(COUNT(D116:F116,H116:J116)&lt;6,"",ROUND(AVERAGE(D116,E116,F116,(11-H116),I116,J116),1))</f>
        <v/>
      </c>
      <c r="P116" s="13">
        <f>IF($A116="","",IF(COUNTIFS(Session!$L$3:$L$202,Q116)=0,"⚠ no Session row","ok"))</f>
        <v/>
      </c>
      <c r="Q116" s="14">
        <f>IF($A116="","",$A116*10+IF($B116="",1,$B116))</f>
        <v/>
      </c>
    </row>
    <row r="117">
      <c r="A117" s="11" t="n"/>
      <c r="G117" s="12" t="n"/>
      <c r="K117" s="12" t="n"/>
      <c r="L117" s="13">
        <f>IF($A117="","",IF(COUNT(D117:F117)&lt;3,"",IF(MIN(D117:F117)&lt;=low_max,"LOW",IF(MIN(D117:F117)&lt;=watch_max,"WATCH","GOOD"))))</f>
        <v/>
      </c>
      <c r="M117" s="13">
        <f>IF($A117="","",IF(COUNT(H117:J117)&lt;3,"",IF(MIN((11-H117),I117,J117)&lt;=low_max,"LOW",IF(MIN((11-H117),I117,J117)&lt;=watch_max,"WATCH","GOOD"))))</f>
        <v/>
      </c>
      <c r="N117" s="13">
        <f>IF(OR(L117="LOW",M117="LOW"),"LOW",IF(OR(L117="WATCH",M117="WATCH"),"WATCH",IF(OR(L117="GOOD",M117="GOOD"),"GOOD","")))</f>
        <v/>
      </c>
      <c r="O117" s="13">
        <f>IF(COUNT(D117:F117,H117:J117)&lt;6,"",ROUND(AVERAGE(D117,E117,F117,(11-H117),I117,J117),1))</f>
        <v/>
      </c>
      <c r="P117" s="13">
        <f>IF($A117="","",IF(COUNTIFS(Session!$L$3:$L$202,Q117)=0,"⚠ no Session row","ok"))</f>
        <v/>
      </c>
      <c r="Q117" s="14">
        <f>IF($A117="","",$A117*10+IF($B117="",1,$B117))</f>
        <v/>
      </c>
    </row>
    <row r="118">
      <c r="A118" s="11" t="n"/>
      <c r="G118" s="12" t="n"/>
      <c r="K118" s="12" t="n"/>
      <c r="L118" s="13">
        <f>IF($A118="","",IF(COUNT(D118:F118)&lt;3,"",IF(MIN(D118:F118)&lt;=low_max,"LOW",IF(MIN(D118:F118)&lt;=watch_max,"WATCH","GOOD"))))</f>
        <v/>
      </c>
      <c r="M118" s="13">
        <f>IF($A118="","",IF(COUNT(H118:J118)&lt;3,"",IF(MIN((11-H118),I118,J118)&lt;=low_max,"LOW",IF(MIN((11-H118),I118,J118)&lt;=watch_max,"WATCH","GOOD"))))</f>
        <v/>
      </c>
      <c r="N118" s="13">
        <f>IF(OR(L118="LOW",M118="LOW"),"LOW",IF(OR(L118="WATCH",M118="WATCH"),"WATCH",IF(OR(L118="GOOD",M118="GOOD"),"GOOD","")))</f>
        <v/>
      </c>
      <c r="O118" s="13">
        <f>IF(COUNT(D118:F118,H118:J118)&lt;6,"",ROUND(AVERAGE(D118,E118,F118,(11-H118),I118,J118),1))</f>
        <v/>
      </c>
      <c r="P118" s="13">
        <f>IF($A118="","",IF(COUNTIFS(Session!$L$3:$L$202,Q118)=0,"⚠ no Session row","ok"))</f>
        <v/>
      </c>
      <c r="Q118" s="14">
        <f>IF($A118="","",$A118*10+IF($B118="",1,$B118))</f>
        <v/>
      </c>
    </row>
    <row r="119">
      <c r="A119" s="11" t="n"/>
      <c r="G119" s="12" t="n"/>
      <c r="K119" s="12" t="n"/>
      <c r="L119" s="13">
        <f>IF($A119="","",IF(COUNT(D119:F119)&lt;3,"",IF(MIN(D119:F119)&lt;=low_max,"LOW",IF(MIN(D119:F119)&lt;=watch_max,"WATCH","GOOD"))))</f>
        <v/>
      </c>
      <c r="M119" s="13">
        <f>IF($A119="","",IF(COUNT(H119:J119)&lt;3,"",IF(MIN((11-H119),I119,J119)&lt;=low_max,"LOW",IF(MIN((11-H119),I119,J119)&lt;=watch_max,"WATCH","GOOD"))))</f>
        <v/>
      </c>
      <c r="N119" s="13">
        <f>IF(OR(L119="LOW",M119="LOW"),"LOW",IF(OR(L119="WATCH",M119="WATCH"),"WATCH",IF(OR(L119="GOOD",M119="GOOD"),"GOOD","")))</f>
        <v/>
      </c>
      <c r="O119" s="13">
        <f>IF(COUNT(D119:F119,H119:J119)&lt;6,"",ROUND(AVERAGE(D119,E119,F119,(11-H119),I119,J119),1))</f>
        <v/>
      </c>
      <c r="P119" s="13">
        <f>IF($A119="","",IF(COUNTIFS(Session!$L$3:$L$202,Q119)=0,"⚠ no Session row","ok"))</f>
        <v/>
      </c>
      <c r="Q119" s="14">
        <f>IF($A119="","",$A119*10+IF($B119="",1,$B119))</f>
        <v/>
      </c>
    </row>
    <row r="120">
      <c r="A120" s="11" t="n"/>
      <c r="G120" s="12" t="n"/>
      <c r="K120" s="12" t="n"/>
      <c r="L120" s="13">
        <f>IF($A120="","",IF(COUNT(D120:F120)&lt;3,"",IF(MIN(D120:F120)&lt;=low_max,"LOW",IF(MIN(D120:F120)&lt;=watch_max,"WATCH","GOOD"))))</f>
        <v/>
      </c>
      <c r="M120" s="13">
        <f>IF($A120="","",IF(COUNT(H120:J120)&lt;3,"",IF(MIN((11-H120),I120,J120)&lt;=low_max,"LOW",IF(MIN((11-H120),I120,J120)&lt;=watch_max,"WATCH","GOOD"))))</f>
        <v/>
      </c>
      <c r="N120" s="13">
        <f>IF(OR(L120="LOW",M120="LOW"),"LOW",IF(OR(L120="WATCH",M120="WATCH"),"WATCH",IF(OR(L120="GOOD",M120="GOOD"),"GOOD","")))</f>
        <v/>
      </c>
      <c r="O120" s="13">
        <f>IF(COUNT(D120:F120,H120:J120)&lt;6,"",ROUND(AVERAGE(D120,E120,F120,(11-H120),I120,J120),1))</f>
        <v/>
      </c>
      <c r="P120" s="13">
        <f>IF($A120="","",IF(COUNTIFS(Session!$L$3:$L$202,Q120)=0,"⚠ no Session row","ok"))</f>
        <v/>
      </c>
      <c r="Q120" s="14">
        <f>IF($A120="","",$A120*10+IF($B120="",1,$B120))</f>
        <v/>
      </c>
    </row>
    <row r="121">
      <c r="A121" s="11" t="n"/>
      <c r="G121" s="12" t="n"/>
      <c r="K121" s="12" t="n"/>
      <c r="L121" s="13">
        <f>IF($A121="","",IF(COUNT(D121:F121)&lt;3,"",IF(MIN(D121:F121)&lt;=low_max,"LOW",IF(MIN(D121:F121)&lt;=watch_max,"WATCH","GOOD"))))</f>
        <v/>
      </c>
      <c r="M121" s="13">
        <f>IF($A121="","",IF(COUNT(H121:J121)&lt;3,"",IF(MIN((11-H121),I121,J121)&lt;=low_max,"LOW",IF(MIN((11-H121),I121,J121)&lt;=watch_max,"WATCH","GOOD"))))</f>
        <v/>
      </c>
      <c r="N121" s="13">
        <f>IF(OR(L121="LOW",M121="LOW"),"LOW",IF(OR(L121="WATCH",M121="WATCH"),"WATCH",IF(OR(L121="GOOD",M121="GOOD"),"GOOD","")))</f>
        <v/>
      </c>
      <c r="O121" s="13">
        <f>IF(COUNT(D121:F121,H121:J121)&lt;6,"",ROUND(AVERAGE(D121,E121,F121,(11-H121),I121,J121),1))</f>
        <v/>
      </c>
      <c r="P121" s="13">
        <f>IF($A121="","",IF(COUNTIFS(Session!$L$3:$L$202,Q121)=0,"⚠ no Session row","ok"))</f>
        <v/>
      </c>
      <c r="Q121" s="14">
        <f>IF($A121="","",$A121*10+IF($B121="",1,$B121))</f>
        <v/>
      </c>
    </row>
    <row r="122">
      <c r="A122" s="11" t="n"/>
      <c r="G122" s="12" t="n"/>
      <c r="K122" s="12" t="n"/>
      <c r="L122" s="13">
        <f>IF($A122="","",IF(COUNT(D122:F122)&lt;3,"",IF(MIN(D122:F122)&lt;=low_max,"LOW",IF(MIN(D122:F122)&lt;=watch_max,"WATCH","GOOD"))))</f>
        <v/>
      </c>
      <c r="M122" s="13">
        <f>IF($A122="","",IF(COUNT(H122:J122)&lt;3,"",IF(MIN((11-H122),I122,J122)&lt;=low_max,"LOW",IF(MIN((11-H122),I122,J122)&lt;=watch_max,"WATCH","GOOD"))))</f>
        <v/>
      </c>
      <c r="N122" s="13">
        <f>IF(OR(L122="LOW",M122="LOW"),"LOW",IF(OR(L122="WATCH",M122="WATCH"),"WATCH",IF(OR(L122="GOOD",M122="GOOD"),"GOOD","")))</f>
        <v/>
      </c>
      <c r="O122" s="13">
        <f>IF(COUNT(D122:F122,H122:J122)&lt;6,"",ROUND(AVERAGE(D122,E122,F122,(11-H122),I122,J122),1))</f>
        <v/>
      </c>
      <c r="P122" s="13">
        <f>IF($A122="","",IF(COUNTIFS(Session!$L$3:$L$202,Q122)=0,"⚠ no Session row","ok"))</f>
        <v/>
      </c>
      <c r="Q122" s="14">
        <f>IF($A122="","",$A122*10+IF($B122="",1,$B122))</f>
        <v/>
      </c>
    </row>
    <row r="123">
      <c r="A123" s="11" t="n"/>
      <c r="G123" s="12" t="n"/>
      <c r="K123" s="12" t="n"/>
      <c r="L123" s="13">
        <f>IF($A123="","",IF(COUNT(D123:F123)&lt;3,"",IF(MIN(D123:F123)&lt;=low_max,"LOW",IF(MIN(D123:F123)&lt;=watch_max,"WATCH","GOOD"))))</f>
        <v/>
      </c>
      <c r="M123" s="13">
        <f>IF($A123="","",IF(COUNT(H123:J123)&lt;3,"",IF(MIN((11-H123),I123,J123)&lt;=low_max,"LOW",IF(MIN((11-H123),I123,J123)&lt;=watch_max,"WATCH","GOOD"))))</f>
        <v/>
      </c>
      <c r="N123" s="13">
        <f>IF(OR(L123="LOW",M123="LOW"),"LOW",IF(OR(L123="WATCH",M123="WATCH"),"WATCH",IF(OR(L123="GOOD",M123="GOOD"),"GOOD","")))</f>
        <v/>
      </c>
      <c r="O123" s="13">
        <f>IF(COUNT(D123:F123,H123:J123)&lt;6,"",ROUND(AVERAGE(D123,E123,F123,(11-H123),I123,J123),1))</f>
        <v/>
      </c>
      <c r="P123" s="13">
        <f>IF($A123="","",IF(COUNTIFS(Session!$L$3:$L$202,Q123)=0,"⚠ no Session row","ok"))</f>
        <v/>
      </c>
      <c r="Q123" s="14">
        <f>IF($A123="","",$A123*10+IF($B123="",1,$B123))</f>
        <v/>
      </c>
    </row>
    <row r="124">
      <c r="A124" s="11" t="n"/>
      <c r="G124" s="12" t="n"/>
      <c r="K124" s="12" t="n"/>
      <c r="L124" s="13">
        <f>IF($A124="","",IF(COUNT(D124:F124)&lt;3,"",IF(MIN(D124:F124)&lt;=low_max,"LOW",IF(MIN(D124:F124)&lt;=watch_max,"WATCH","GOOD"))))</f>
        <v/>
      </c>
      <c r="M124" s="13">
        <f>IF($A124="","",IF(COUNT(H124:J124)&lt;3,"",IF(MIN((11-H124),I124,J124)&lt;=low_max,"LOW",IF(MIN((11-H124),I124,J124)&lt;=watch_max,"WATCH","GOOD"))))</f>
        <v/>
      </c>
      <c r="N124" s="13">
        <f>IF(OR(L124="LOW",M124="LOW"),"LOW",IF(OR(L124="WATCH",M124="WATCH"),"WATCH",IF(OR(L124="GOOD",M124="GOOD"),"GOOD","")))</f>
        <v/>
      </c>
      <c r="O124" s="13">
        <f>IF(COUNT(D124:F124,H124:J124)&lt;6,"",ROUND(AVERAGE(D124,E124,F124,(11-H124),I124,J124),1))</f>
        <v/>
      </c>
      <c r="P124" s="13">
        <f>IF($A124="","",IF(COUNTIFS(Session!$L$3:$L$202,Q124)=0,"⚠ no Session row","ok"))</f>
        <v/>
      </c>
      <c r="Q124" s="14">
        <f>IF($A124="","",$A124*10+IF($B124="",1,$B124))</f>
        <v/>
      </c>
    </row>
    <row r="125">
      <c r="A125" s="11" t="n"/>
      <c r="G125" s="12" t="n"/>
      <c r="K125" s="12" t="n"/>
      <c r="L125" s="13">
        <f>IF($A125="","",IF(COUNT(D125:F125)&lt;3,"",IF(MIN(D125:F125)&lt;=low_max,"LOW",IF(MIN(D125:F125)&lt;=watch_max,"WATCH","GOOD"))))</f>
        <v/>
      </c>
      <c r="M125" s="13">
        <f>IF($A125="","",IF(COUNT(H125:J125)&lt;3,"",IF(MIN((11-H125),I125,J125)&lt;=low_max,"LOW",IF(MIN((11-H125),I125,J125)&lt;=watch_max,"WATCH","GOOD"))))</f>
        <v/>
      </c>
      <c r="N125" s="13">
        <f>IF(OR(L125="LOW",M125="LOW"),"LOW",IF(OR(L125="WATCH",M125="WATCH"),"WATCH",IF(OR(L125="GOOD",M125="GOOD"),"GOOD","")))</f>
        <v/>
      </c>
      <c r="O125" s="13">
        <f>IF(COUNT(D125:F125,H125:J125)&lt;6,"",ROUND(AVERAGE(D125,E125,F125,(11-H125),I125,J125),1))</f>
        <v/>
      </c>
      <c r="P125" s="13">
        <f>IF($A125="","",IF(COUNTIFS(Session!$L$3:$L$202,Q125)=0,"⚠ no Session row","ok"))</f>
        <v/>
      </c>
      <c r="Q125" s="14">
        <f>IF($A125="","",$A125*10+IF($B125="",1,$B125))</f>
        <v/>
      </c>
    </row>
    <row r="126">
      <c r="A126" s="11" t="n"/>
      <c r="G126" s="12" t="n"/>
      <c r="K126" s="12" t="n"/>
      <c r="L126" s="13">
        <f>IF($A126="","",IF(COUNT(D126:F126)&lt;3,"",IF(MIN(D126:F126)&lt;=low_max,"LOW",IF(MIN(D126:F126)&lt;=watch_max,"WATCH","GOOD"))))</f>
        <v/>
      </c>
      <c r="M126" s="13">
        <f>IF($A126="","",IF(COUNT(H126:J126)&lt;3,"",IF(MIN((11-H126),I126,J126)&lt;=low_max,"LOW",IF(MIN((11-H126),I126,J126)&lt;=watch_max,"WATCH","GOOD"))))</f>
        <v/>
      </c>
      <c r="N126" s="13">
        <f>IF(OR(L126="LOW",M126="LOW"),"LOW",IF(OR(L126="WATCH",M126="WATCH"),"WATCH",IF(OR(L126="GOOD",M126="GOOD"),"GOOD","")))</f>
        <v/>
      </c>
      <c r="O126" s="13">
        <f>IF(COUNT(D126:F126,H126:J126)&lt;6,"",ROUND(AVERAGE(D126,E126,F126,(11-H126),I126,J126),1))</f>
        <v/>
      </c>
      <c r="P126" s="13">
        <f>IF($A126="","",IF(COUNTIFS(Session!$L$3:$L$202,Q126)=0,"⚠ no Session row","ok"))</f>
        <v/>
      </c>
      <c r="Q126" s="14">
        <f>IF($A126="","",$A126*10+IF($B126="",1,$B126))</f>
        <v/>
      </c>
    </row>
    <row r="127">
      <c r="A127" s="11" t="n"/>
      <c r="G127" s="12" t="n"/>
      <c r="K127" s="12" t="n"/>
      <c r="L127" s="13">
        <f>IF($A127="","",IF(COUNT(D127:F127)&lt;3,"",IF(MIN(D127:F127)&lt;=low_max,"LOW",IF(MIN(D127:F127)&lt;=watch_max,"WATCH","GOOD"))))</f>
        <v/>
      </c>
      <c r="M127" s="13">
        <f>IF($A127="","",IF(COUNT(H127:J127)&lt;3,"",IF(MIN((11-H127),I127,J127)&lt;=low_max,"LOW",IF(MIN((11-H127),I127,J127)&lt;=watch_max,"WATCH","GOOD"))))</f>
        <v/>
      </c>
      <c r="N127" s="13">
        <f>IF(OR(L127="LOW",M127="LOW"),"LOW",IF(OR(L127="WATCH",M127="WATCH"),"WATCH",IF(OR(L127="GOOD",M127="GOOD"),"GOOD","")))</f>
        <v/>
      </c>
      <c r="O127" s="13">
        <f>IF(COUNT(D127:F127,H127:J127)&lt;6,"",ROUND(AVERAGE(D127,E127,F127,(11-H127),I127,J127),1))</f>
        <v/>
      </c>
      <c r="P127" s="13">
        <f>IF($A127="","",IF(COUNTIFS(Session!$L$3:$L$202,Q127)=0,"⚠ no Session row","ok"))</f>
        <v/>
      </c>
      <c r="Q127" s="14">
        <f>IF($A127="","",$A127*10+IF($B127="",1,$B127))</f>
        <v/>
      </c>
    </row>
    <row r="128">
      <c r="A128" s="11" t="n"/>
      <c r="G128" s="12" t="n"/>
      <c r="K128" s="12" t="n"/>
      <c r="L128" s="13">
        <f>IF($A128="","",IF(COUNT(D128:F128)&lt;3,"",IF(MIN(D128:F128)&lt;=low_max,"LOW",IF(MIN(D128:F128)&lt;=watch_max,"WATCH","GOOD"))))</f>
        <v/>
      </c>
      <c r="M128" s="13">
        <f>IF($A128="","",IF(COUNT(H128:J128)&lt;3,"",IF(MIN((11-H128),I128,J128)&lt;=low_max,"LOW",IF(MIN((11-H128),I128,J128)&lt;=watch_max,"WATCH","GOOD"))))</f>
        <v/>
      </c>
      <c r="N128" s="13">
        <f>IF(OR(L128="LOW",M128="LOW"),"LOW",IF(OR(L128="WATCH",M128="WATCH"),"WATCH",IF(OR(L128="GOOD",M128="GOOD"),"GOOD","")))</f>
        <v/>
      </c>
      <c r="O128" s="13">
        <f>IF(COUNT(D128:F128,H128:J128)&lt;6,"",ROUND(AVERAGE(D128,E128,F128,(11-H128),I128,J128),1))</f>
        <v/>
      </c>
      <c r="P128" s="13">
        <f>IF($A128="","",IF(COUNTIFS(Session!$L$3:$L$202,Q128)=0,"⚠ no Session row","ok"))</f>
        <v/>
      </c>
      <c r="Q128" s="14">
        <f>IF($A128="","",$A128*10+IF($B128="",1,$B128))</f>
        <v/>
      </c>
    </row>
    <row r="129">
      <c r="A129" s="11" t="n"/>
      <c r="G129" s="12" t="n"/>
      <c r="K129" s="12" t="n"/>
      <c r="L129" s="13">
        <f>IF($A129="","",IF(COUNT(D129:F129)&lt;3,"",IF(MIN(D129:F129)&lt;=low_max,"LOW",IF(MIN(D129:F129)&lt;=watch_max,"WATCH","GOOD"))))</f>
        <v/>
      </c>
      <c r="M129" s="13">
        <f>IF($A129="","",IF(COUNT(H129:J129)&lt;3,"",IF(MIN((11-H129),I129,J129)&lt;=low_max,"LOW",IF(MIN((11-H129),I129,J129)&lt;=watch_max,"WATCH","GOOD"))))</f>
        <v/>
      </c>
      <c r="N129" s="13">
        <f>IF(OR(L129="LOW",M129="LOW"),"LOW",IF(OR(L129="WATCH",M129="WATCH"),"WATCH",IF(OR(L129="GOOD",M129="GOOD"),"GOOD","")))</f>
        <v/>
      </c>
      <c r="O129" s="13">
        <f>IF(COUNT(D129:F129,H129:J129)&lt;6,"",ROUND(AVERAGE(D129,E129,F129,(11-H129),I129,J129),1))</f>
        <v/>
      </c>
      <c r="P129" s="13">
        <f>IF($A129="","",IF(COUNTIFS(Session!$L$3:$L$202,Q129)=0,"⚠ no Session row","ok"))</f>
        <v/>
      </c>
      <c r="Q129" s="14">
        <f>IF($A129="","",$A129*10+IF($B129="",1,$B129))</f>
        <v/>
      </c>
    </row>
    <row r="130">
      <c r="A130" s="11" t="n"/>
      <c r="G130" s="12" t="n"/>
      <c r="K130" s="12" t="n"/>
      <c r="L130" s="13">
        <f>IF($A130="","",IF(COUNT(D130:F130)&lt;3,"",IF(MIN(D130:F130)&lt;=low_max,"LOW",IF(MIN(D130:F130)&lt;=watch_max,"WATCH","GOOD"))))</f>
        <v/>
      </c>
      <c r="M130" s="13">
        <f>IF($A130="","",IF(COUNT(H130:J130)&lt;3,"",IF(MIN((11-H130),I130,J130)&lt;=low_max,"LOW",IF(MIN((11-H130),I130,J130)&lt;=watch_max,"WATCH","GOOD"))))</f>
        <v/>
      </c>
      <c r="N130" s="13">
        <f>IF(OR(L130="LOW",M130="LOW"),"LOW",IF(OR(L130="WATCH",M130="WATCH"),"WATCH",IF(OR(L130="GOOD",M130="GOOD"),"GOOD","")))</f>
        <v/>
      </c>
      <c r="O130" s="13">
        <f>IF(COUNT(D130:F130,H130:J130)&lt;6,"",ROUND(AVERAGE(D130,E130,F130,(11-H130),I130,J130),1))</f>
        <v/>
      </c>
      <c r="P130" s="13">
        <f>IF($A130="","",IF(COUNTIFS(Session!$L$3:$L$202,Q130)=0,"⚠ no Session row","ok"))</f>
        <v/>
      </c>
      <c r="Q130" s="14">
        <f>IF($A130="","",$A130*10+IF($B130="",1,$B130))</f>
        <v/>
      </c>
    </row>
    <row r="131">
      <c r="A131" s="11" t="n"/>
      <c r="G131" s="12" t="n"/>
      <c r="K131" s="12" t="n"/>
      <c r="L131" s="13">
        <f>IF($A131="","",IF(COUNT(D131:F131)&lt;3,"",IF(MIN(D131:F131)&lt;=low_max,"LOW",IF(MIN(D131:F131)&lt;=watch_max,"WATCH","GOOD"))))</f>
        <v/>
      </c>
      <c r="M131" s="13">
        <f>IF($A131="","",IF(COUNT(H131:J131)&lt;3,"",IF(MIN((11-H131),I131,J131)&lt;=low_max,"LOW",IF(MIN((11-H131),I131,J131)&lt;=watch_max,"WATCH","GOOD"))))</f>
        <v/>
      </c>
      <c r="N131" s="13">
        <f>IF(OR(L131="LOW",M131="LOW"),"LOW",IF(OR(L131="WATCH",M131="WATCH"),"WATCH",IF(OR(L131="GOOD",M131="GOOD"),"GOOD","")))</f>
        <v/>
      </c>
      <c r="O131" s="13">
        <f>IF(COUNT(D131:F131,H131:J131)&lt;6,"",ROUND(AVERAGE(D131,E131,F131,(11-H131),I131,J131),1))</f>
        <v/>
      </c>
      <c r="P131" s="13">
        <f>IF($A131="","",IF(COUNTIFS(Session!$L$3:$L$202,Q131)=0,"⚠ no Session row","ok"))</f>
        <v/>
      </c>
      <c r="Q131" s="14">
        <f>IF($A131="","",$A131*10+IF($B131="",1,$B131))</f>
        <v/>
      </c>
    </row>
    <row r="132">
      <c r="A132" s="11" t="n"/>
      <c r="G132" s="12" t="n"/>
      <c r="K132" s="12" t="n"/>
      <c r="L132" s="13">
        <f>IF($A132="","",IF(COUNT(D132:F132)&lt;3,"",IF(MIN(D132:F132)&lt;=low_max,"LOW",IF(MIN(D132:F132)&lt;=watch_max,"WATCH","GOOD"))))</f>
        <v/>
      </c>
      <c r="M132" s="13">
        <f>IF($A132="","",IF(COUNT(H132:J132)&lt;3,"",IF(MIN((11-H132),I132,J132)&lt;=low_max,"LOW",IF(MIN((11-H132),I132,J132)&lt;=watch_max,"WATCH","GOOD"))))</f>
        <v/>
      </c>
      <c r="N132" s="13">
        <f>IF(OR(L132="LOW",M132="LOW"),"LOW",IF(OR(L132="WATCH",M132="WATCH"),"WATCH",IF(OR(L132="GOOD",M132="GOOD"),"GOOD","")))</f>
        <v/>
      </c>
      <c r="O132" s="13">
        <f>IF(COUNT(D132:F132,H132:J132)&lt;6,"",ROUND(AVERAGE(D132,E132,F132,(11-H132),I132,J132),1))</f>
        <v/>
      </c>
      <c r="P132" s="13">
        <f>IF($A132="","",IF(COUNTIFS(Session!$L$3:$L$202,Q132)=0,"⚠ no Session row","ok"))</f>
        <v/>
      </c>
      <c r="Q132" s="14">
        <f>IF($A132="","",$A132*10+IF($B132="",1,$B132))</f>
        <v/>
      </c>
    </row>
    <row r="133">
      <c r="A133" s="11" t="n"/>
      <c r="G133" s="12" t="n"/>
      <c r="K133" s="12" t="n"/>
      <c r="L133" s="13">
        <f>IF($A133="","",IF(COUNT(D133:F133)&lt;3,"",IF(MIN(D133:F133)&lt;=low_max,"LOW",IF(MIN(D133:F133)&lt;=watch_max,"WATCH","GOOD"))))</f>
        <v/>
      </c>
      <c r="M133" s="13">
        <f>IF($A133="","",IF(COUNT(H133:J133)&lt;3,"",IF(MIN((11-H133),I133,J133)&lt;=low_max,"LOW",IF(MIN((11-H133),I133,J133)&lt;=watch_max,"WATCH","GOOD"))))</f>
        <v/>
      </c>
      <c r="N133" s="13">
        <f>IF(OR(L133="LOW",M133="LOW"),"LOW",IF(OR(L133="WATCH",M133="WATCH"),"WATCH",IF(OR(L133="GOOD",M133="GOOD"),"GOOD","")))</f>
        <v/>
      </c>
      <c r="O133" s="13">
        <f>IF(COUNT(D133:F133,H133:J133)&lt;6,"",ROUND(AVERAGE(D133,E133,F133,(11-H133),I133,J133),1))</f>
        <v/>
      </c>
      <c r="P133" s="13">
        <f>IF($A133="","",IF(COUNTIFS(Session!$L$3:$L$202,Q133)=0,"⚠ no Session row","ok"))</f>
        <v/>
      </c>
      <c r="Q133" s="14">
        <f>IF($A133="","",$A133*10+IF($B133="",1,$B133))</f>
        <v/>
      </c>
    </row>
    <row r="134">
      <c r="A134" s="11" t="n"/>
      <c r="G134" s="12" t="n"/>
      <c r="K134" s="12" t="n"/>
      <c r="L134" s="13">
        <f>IF($A134="","",IF(COUNT(D134:F134)&lt;3,"",IF(MIN(D134:F134)&lt;=low_max,"LOW",IF(MIN(D134:F134)&lt;=watch_max,"WATCH","GOOD"))))</f>
        <v/>
      </c>
      <c r="M134" s="13">
        <f>IF($A134="","",IF(COUNT(H134:J134)&lt;3,"",IF(MIN((11-H134),I134,J134)&lt;=low_max,"LOW",IF(MIN((11-H134),I134,J134)&lt;=watch_max,"WATCH","GOOD"))))</f>
        <v/>
      </c>
      <c r="N134" s="13">
        <f>IF(OR(L134="LOW",M134="LOW"),"LOW",IF(OR(L134="WATCH",M134="WATCH"),"WATCH",IF(OR(L134="GOOD",M134="GOOD"),"GOOD","")))</f>
        <v/>
      </c>
      <c r="O134" s="13">
        <f>IF(COUNT(D134:F134,H134:J134)&lt;6,"",ROUND(AVERAGE(D134,E134,F134,(11-H134),I134,J134),1))</f>
        <v/>
      </c>
      <c r="P134" s="13">
        <f>IF($A134="","",IF(COUNTIFS(Session!$L$3:$L$202,Q134)=0,"⚠ no Session row","ok"))</f>
        <v/>
      </c>
      <c r="Q134" s="14">
        <f>IF($A134="","",$A134*10+IF($B134="",1,$B134))</f>
        <v/>
      </c>
    </row>
    <row r="135">
      <c r="A135" s="11" t="n"/>
      <c r="G135" s="12" t="n"/>
      <c r="K135" s="12" t="n"/>
      <c r="L135" s="13">
        <f>IF($A135="","",IF(COUNT(D135:F135)&lt;3,"",IF(MIN(D135:F135)&lt;=low_max,"LOW",IF(MIN(D135:F135)&lt;=watch_max,"WATCH","GOOD"))))</f>
        <v/>
      </c>
      <c r="M135" s="13">
        <f>IF($A135="","",IF(COUNT(H135:J135)&lt;3,"",IF(MIN((11-H135),I135,J135)&lt;=low_max,"LOW",IF(MIN((11-H135),I135,J135)&lt;=watch_max,"WATCH","GOOD"))))</f>
        <v/>
      </c>
      <c r="N135" s="13">
        <f>IF(OR(L135="LOW",M135="LOW"),"LOW",IF(OR(L135="WATCH",M135="WATCH"),"WATCH",IF(OR(L135="GOOD",M135="GOOD"),"GOOD","")))</f>
        <v/>
      </c>
      <c r="O135" s="13">
        <f>IF(COUNT(D135:F135,H135:J135)&lt;6,"",ROUND(AVERAGE(D135,E135,F135,(11-H135),I135,J135),1))</f>
        <v/>
      </c>
      <c r="P135" s="13">
        <f>IF($A135="","",IF(COUNTIFS(Session!$L$3:$L$202,Q135)=0,"⚠ no Session row","ok"))</f>
        <v/>
      </c>
      <c r="Q135" s="14">
        <f>IF($A135="","",$A135*10+IF($B135="",1,$B135))</f>
        <v/>
      </c>
    </row>
    <row r="136">
      <c r="A136" s="11" t="n"/>
      <c r="G136" s="12" t="n"/>
      <c r="K136" s="12" t="n"/>
      <c r="L136" s="13">
        <f>IF($A136="","",IF(COUNT(D136:F136)&lt;3,"",IF(MIN(D136:F136)&lt;=low_max,"LOW",IF(MIN(D136:F136)&lt;=watch_max,"WATCH","GOOD"))))</f>
        <v/>
      </c>
      <c r="M136" s="13">
        <f>IF($A136="","",IF(COUNT(H136:J136)&lt;3,"",IF(MIN((11-H136),I136,J136)&lt;=low_max,"LOW",IF(MIN((11-H136),I136,J136)&lt;=watch_max,"WATCH","GOOD"))))</f>
        <v/>
      </c>
      <c r="N136" s="13">
        <f>IF(OR(L136="LOW",M136="LOW"),"LOW",IF(OR(L136="WATCH",M136="WATCH"),"WATCH",IF(OR(L136="GOOD",M136="GOOD"),"GOOD","")))</f>
        <v/>
      </c>
      <c r="O136" s="13">
        <f>IF(COUNT(D136:F136,H136:J136)&lt;6,"",ROUND(AVERAGE(D136,E136,F136,(11-H136),I136,J136),1))</f>
        <v/>
      </c>
      <c r="P136" s="13">
        <f>IF($A136="","",IF(COUNTIFS(Session!$L$3:$L$202,Q136)=0,"⚠ no Session row","ok"))</f>
        <v/>
      </c>
      <c r="Q136" s="14">
        <f>IF($A136="","",$A136*10+IF($B136="",1,$B136))</f>
        <v/>
      </c>
    </row>
    <row r="137">
      <c r="A137" s="11" t="n"/>
      <c r="G137" s="12" t="n"/>
      <c r="K137" s="12" t="n"/>
      <c r="L137" s="13">
        <f>IF($A137="","",IF(COUNT(D137:F137)&lt;3,"",IF(MIN(D137:F137)&lt;=low_max,"LOW",IF(MIN(D137:F137)&lt;=watch_max,"WATCH","GOOD"))))</f>
        <v/>
      </c>
      <c r="M137" s="13">
        <f>IF($A137="","",IF(COUNT(H137:J137)&lt;3,"",IF(MIN((11-H137),I137,J137)&lt;=low_max,"LOW",IF(MIN((11-H137),I137,J137)&lt;=watch_max,"WATCH","GOOD"))))</f>
        <v/>
      </c>
      <c r="N137" s="13">
        <f>IF(OR(L137="LOW",M137="LOW"),"LOW",IF(OR(L137="WATCH",M137="WATCH"),"WATCH",IF(OR(L137="GOOD",M137="GOOD"),"GOOD","")))</f>
        <v/>
      </c>
      <c r="O137" s="13">
        <f>IF(COUNT(D137:F137,H137:J137)&lt;6,"",ROUND(AVERAGE(D137,E137,F137,(11-H137),I137,J137),1))</f>
        <v/>
      </c>
      <c r="P137" s="13">
        <f>IF($A137="","",IF(COUNTIFS(Session!$L$3:$L$202,Q137)=0,"⚠ no Session row","ok"))</f>
        <v/>
      </c>
      <c r="Q137" s="14">
        <f>IF($A137="","",$A137*10+IF($B137="",1,$B137))</f>
        <v/>
      </c>
    </row>
    <row r="138">
      <c r="A138" s="11" t="n"/>
      <c r="G138" s="12" t="n"/>
      <c r="K138" s="12" t="n"/>
      <c r="L138" s="13">
        <f>IF($A138="","",IF(COUNT(D138:F138)&lt;3,"",IF(MIN(D138:F138)&lt;=low_max,"LOW",IF(MIN(D138:F138)&lt;=watch_max,"WATCH","GOOD"))))</f>
        <v/>
      </c>
      <c r="M138" s="13">
        <f>IF($A138="","",IF(COUNT(H138:J138)&lt;3,"",IF(MIN((11-H138),I138,J138)&lt;=low_max,"LOW",IF(MIN((11-H138),I138,J138)&lt;=watch_max,"WATCH","GOOD"))))</f>
        <v/>
      </c>
      <c r="N138" s="13">
        <f>IF(OR(L138="LOW",M138="LOW"),"LOW",IF(OR(L138="WATCH",M138="WATCH"),"WATCH",IF(OR(L138="GOOD",M138="GOOD"),"GOOD","")))</f>
        <v/>
      </c>
      <c r="O138" s="13">
        <f>IF(COUNT(D138:F138,H138:J138)&lt;6,"",ROUND(AVERAGE(D138,E138,F138,(11-H138),I138,J138),1))</f>
        <v/>
      </c>
      <c r="P138" s="13">
        <f>IF($A138="","",IF(COUNTIFS(Session!$L$3:$L$202,Q138)=0,"⚠ no Session row","ok"))</f>
        <v/>
      </c>
      <c r="Q138" s="14">
        <f>IF($A138="","",$A138*10+IF($B138="",1,$B138))</f>
        <v/>
      </c>
    </row>
    <row r="139">
      <c r="A139" s="11" t="n"/>
      <c r="G139" s="12" t="n"/>
      <c r="K139" s="12" t="n"/>
      <c r="L139" s="13">
        <f>IF($A139="","",IF(COUNT(D139:F139)&lt;3,"",IF(MIN(D139:F139)&lt;=low_max,"LOW",IF(MIN(D139:F139)&lt;=watch_max,"WATCH","GOOD"))))</f>
        <v/>
      </c>
      <c r="M139" s="13">
        <f>IF($A139="","",IF(COUNT(H139:J139)&lt;3,"",IF(MIN((11-H139),I139,J139)&lt;=low_max,"LOW",IF(MIN((11-H139),I139,J139)&lt;=watch_max,"WATCH","GOOD"))))</f>
        <v/>
      </c>
      <c r="N139" s="13">
        <f>IF(OR(L139="LOW",M139="LOW"),"LOW",IF(OR(L139="WATCH",M139="WATCH"),"WATCH",IF(OR(L139="GOOD",M139="GOOD"),"GOOD","")))</f>
        <v/>
      </c>
      <c r="O139" s="13">
        <f>IF(COUNT(D139:F139,H139:J139)&lt;6,"",ROUND(AVERAGE(D139,E139,F139,(11-H139),I139,J139),1))</f>
        <v/>
      </c>
      <c r="P139" s="13">
        <f>IF($A139="","",IF(COUNTIFS(Session!$L$3:$L$202,Q139)=0,"⚠ no Session row","ok"))</f>
        <v/>
      </c>
      <c r="Q139" s="14">
        <f>IF($A139="","",$A139*10+IF($B139="",1,$B139))</f>
        <v/>
      </c>
    </row>
    <row r="140">
      <c r="A140" s="11" t="n"/>
      <c r="G140" s="12" t="n"/>
      <c r="K140" s="12" t="n"/>
      <c r="L140" s="13">
        <f>IF($A140="","",IF(COUNT(D140:F140)&lt;3,"",IF(MIN(D140:F140)&lt;=low_max,"LOW",IF(MIN(D140:F140)&lt;=watch_max,"WATCH","GOOD"))))</f>
        <v/>
      </c>
      <c r="M140" s="13">
        <f>IF($A140="","",IF(COUNT(H140:J140)&lt;3,"",IF(MIN((11-H140),I140,J140)&lt;=low_max,"LOW",IF(MIN((11-H140),I140,J140)&lt;=watch_max,"WATCH","GOOD"))))</f>
        <v/>
      </c>
      <c r="N140" s="13">
        <f>IF(OR(L140="LOW",M140="LOW"),"LOW",IF(OR(L140="WATCH",M140="WATCH"),"WATCH",IF(OR(L140="GOOD",M140="GOOD"),"GOOD","")))</f>
        <v/>
      </c>
      <c r="O140" s="13">
        <f>IF(COUNT(D140:F140,H140:J140)&lt;6,"",ROUND(AVERAGE(D140,E140,F140,(11-H140),I140,J140),1))</f>
        <v/>
      </c>
      <c r="P140" s="13">
        <f>IF($A140="","",IF(COUNTIFS(Session!$L$3:$L$202,Q140)=0,"⚠ no Session row","ok"))</f>
        <v/>
      </c>
      <c r="Q140" s="14">
        <f>IF($A140="","",$A140*10+IF($B140="",1,$B140))</f>
        <v/>
      </c>
    </row>
    <row r="141">
      <c r="A141" s="11" t="n"/>
      <c r="G141" s="12" t="n"/>
      <c r="K141" s="12" t="n"/>
      <c r="L141" s="13">
        <f>IF($A141="","",IF(COUNT(D141:F141)&lt;3,"",IF(MIN(D141:F141)&lt;=low_max,"LOW",IF(MIN(D141:F141)&lt;=watch_max,"WATCH","GOOD"))))</f>
        <v/>
      </c>
      <c r="M141" s="13">
        <f>IF($A141="","",IF(COUNT(H141:J141)&lt;3,"",IF(MIN((11-H141),I141,J141)&lt;=low_max,"LOW",IF(MIN((11-H141),I141,J141)&lt;=watch_max,"WATCH","GOOD"))))</f>
        <v/>
      </c>
      <c r="N141" s="13">
        <f>IF(OR(L141="LOW",M141="LOW"),"LOW",IF(OR(L141="WATCH",M141="WATCH"),"WATCH",IF(OR(L141="GOOD",M141="GOOD"),"GOOD","")))</f>
        <v/>
      </c>
      <c r="O141" s="13">
        <f>IF(COUNT(D141:F141,H141:J141)&lt;6,"",ROUND(AVERAGE(D141,E141,F141,(11-H141),I141,J141),1))</f>
        <v/>
      </c>
      <c r="P141" s="13">
        <f>IF($A141="","",IF(COUNTIFS(Session!$L$3:$L$202,Q141)=0,"⚠ no Session row","ok"))</f>
        <v/>
      </c>
      <c r="Q141" s="14">
        <f>IF($A141="","",$A141*10+IF($B141="",1,$B141))</f>
        <v/>
      </c>
    </row>
    <row r="142">
      <c r="A142" s="11" t="n"/>
      <c r="G142" s="12" t="n"/>
      <c r="K142" s="12" t="n"/>
      <c r="L142" s="13">
        <f>IF($A142="","",IF(COUNT(D142:F142)&lt;3,"",IF(MIN(D142:F142)&lt;=low_max,"LOW",IF(MIN(D142:F142)&lt;=watch_max,"WATCH","GOOD"))))</f>
        <v/>
      </c>
      <c r="M142" s="13">
        <f>IF($A142="","",IF(COUNT(H142:J142)&lt;3,"",IF(MIN((11-H142),I142,J142)&lt;=low_max,"LOW",IF(MIN((11-H142),I142,J142)&lt;=watch_max,"WATCH","GOOD"))))</f>
        <v/>
      </c>
      <c r="N142" s="13">
        <f>IF(OR(L142="LOW",M142="LOW"),"LOW",IF(OR(L142="WATCH",M142="WATCH"),"WATCH",IF(OR(L142="GOOD",M142="GOOD"),"GOOD","")))</f>
        <v/>
      </c>
      <c r="O142" s="13">
        <f>IF(COUNT(D142:F142,H142:J142)&lt;6,"",ROUND(AVERAGE(D142,E142,F142,(11-H142),I142,J142),1))</f>
        <v/>
      </c>
      <c r="P142" s="13">
        <f>IF($A142="","",IF(COUNTIFS(Session!$L$3:$L$202,Q142)=0,"⚠ no Session row","ok"))</f>
        <v/>
      </c>
      <c r="Q142" s="14">
        <f>IF($A142="","",$A142*10+IF($B142="",1,$B142))</f>
        <v/>
      </c>
    </row>
    <row r="143">
      <c r="A143" s="11" t="n"/>
      <c r="G143" s="12" t="n"/>
      <c r="K143" s="12" t="n"/>
      <c r="L143" s="13">
        <f>IF($A143="","",IF(COUNT(D143:F143)&lt;3,"",IF(MIN(D143:F143)&lt;=low_max,"LOW",IF(MIN(D143:F143)&lt;=watch_max,"WATCH","GOOD"))))</f>
        <v/>
      </c>
      <c r="M143" s="13">
        <f>IF($A143="","",IF(COUNT(H143:J143)&lt;3,"",IF(MIN((11-H143),I143,J143)&lt;=low_max,"LOW",IF(MIN((11-H143),I143,J143)&lt;=watch_max,"WATCH","GOOD"))))</f>
        <v/>
      </c>
      <c r="N143" s="13">
        <f>IF(OR(L143="LOW",M143="LOW"),"LOW",IF(OR(L143="WATCH",M143="WATCH"),"WATCH",IF(OR(L143="GOOD",M143="GOOD"),"GOOD","")))</f>
        <v/>
      </c>
      <c r="O143" s="13">
        <f>IF(COUNT(D143:F143,H143:J143)&lt;6,"",ROUND(AVERAGE(D143,E143,F143,(11-H143),I143,J143),1))</f>
        <v/>
      </c>
      <c r="P143" s="13">
        <f>IF($A143="","",IF(COUNTIFS(Session!$L$3:$L$202,Q143)=0,"⚠ no Session row","ok"))</f>
        <v/>
      </c>
      <c r="Q143" s="14">
        <f>IF($A143="","",$A143*10+IF($B143="",1,$B143))</f>
        <v/>
      </c>
    </row>
    <row r="144">
      <c r="A144" s="11" t="n"/>
      <c r="G144" s="12" t="n"/>
      <c r="K144" s="12" t="n"/>
      <c r="L144" s="13">
        <f>IF($A144="","",IF(COUNT(D144:F144)&lt;3,"",IF(MIN(D144:F144)&lt;=low_max,"LOW",IF(MIN(D144:F144)&lt;=watch_max,"WATCH","GOOD"))))</f>
        <v/>
      </c>
      <c r="M144" s="13">
        <f>IF($A144="","",IF(COUNT(H144:J144)&lt;3,"",IF(MIN((11-H144),I144,J144)&lt;=low_max,"LOW",IF(MIN((11-H144),I144,J144)&lt;=watch_max,"WATCH","GOOD"))))</f>
        <v/>
      </c>
      <c r="N144" s="13">
        <f>IF(OR(L144="LOW",M144="LOW"),"LOW",IF(OR(L144="WATCH",M144="WATCH"),"WATCH",IF(OR(L144="GOOD",M144="GOOD"),"GOOD","")))</f>
        <v/>
      </c>
      <c r="O144" s="13">
        <f>IF(COUNT(D144:F144,H144:J144)&lt;6,"",ROUND(AVERAGE(D144,E144,F144,(11-H144),I144,J144),1))</f>
        <v/>
      </c>
      <c r="P144" s="13">
        <f>IF($A144="","",IF(COUNTIFS(Session!$L$3:$L$202,Q144)=0,"⚠ no Session row","ok"))</f>
        <v/>
      </c>
      <c r="Q144" s="14">
        <f>IF($A144="","",$A144*10+IF($B144="",1,$B144))</f>
        <v/>
      </c>
    </row>
    <row r="145">
      <c r="A145" s="11" t="n"/>
      <c r="G145" s="12" t="n"/>
      <c r="K145" s="12" t="n"/>
      <c r="L145" s="13">
        <f>IF($A145="","",IF(COUNT(D145:F145)&lt;3,"",IF(MIN(D145:F145)&lt;=low_max,"LOW",IF(MIN(D145:F145)&lt;=watch_max,"WATCH","GOOD"))))</f>
        <v/>
      </c>
      <c r="M145" s="13">
        <f>IF($A145="","",IF(COUNT(H145:J145)&lt;3,"",IF(MIN((11-H145),I145,J145)&lt;=low_max,"LOW",IF(MIN((11-H145),I145,J145)&lt;=watch_max,"WATCH","GOOD"))))</f>
        <v/>
      </c>
      <c r="N145" s="13">
        <f>IF(OR(L145="LOW",M145="LOW"),"LOW",IF(OR(L145="WATCH",M145="WATCH"),"WATCH",IF(OR(L145="GOOD",M145="GOOD"),"GOOD","")))</f>
        <v/>
      </c>
      <c r="O145" s="13">
        <f>IF(COUNT(D145:F145,H145:J145)&lt;6,"",ROUND(AVERAGE(D145,E145,F145,(11-H145),I145,J145),1))</f>
        <v/>
      </c>
      <c r="P145" s="13">
        <f>IF($A145="","",IF(COUNTIFS(Session!$L$3:$L$202,Q145)=0,"⚠ no Session row","ok"))</f>
        <v/>
      </c>
      <c r="Q145" s="14">
        <f>IF($A145="","",$A145*10+IF($B145="",1,$B145))</f>
        <v/>
      </c>
    </row>
    <row r="146">
      <c r="A146" s="11" t="n"/>
      <c r="G146" s="12" t="n"/>
      <c r="K146" s="12" t="n"/>
      <c r="L146" s="13">
        <f>IF($A146="","",IF(COUNT(D146:F146)&lt;3,"",IF(MIN(D146:F146)&lt;=low_max,"LOW",IF(MIN(D146:F146)&lt;=watch_max,"WATCH","GOOD"))))</f>
        <v/>
      </c>
      <c r="M146" s="13">
        <f>IF($A146="","",IF(COUNT(H146:J146)&lt;3,"",IF(MIN((11-H146),I146,J146)&lt;=low_max,"LOW",IF(MIN((11-H146),I146,J146)&lt;=watch_max,"WATCH","GOOD"))))</f>
        <v/>
      </c>
      <c r="N146" s="13">
        <f>IF(OR(L146="LOW",M146="LOW"),"LOW",IF(OR(L146="WATCH",M146="WATCH"),"WATCH",IF(OR(L146="GOOD",M146="GOOD"),"GOOD","")))</f>
        <v/>
      </c>
      <c r="O146" s="13">
        <f>IF(COUNT(D146:F146,H146:J146)&lt;6,"",ROUND(AVERAGE(D146,E146,F146,(11-H146),I146,J146),1))</f>
        <v/>
      </c>
      <c r="P146" s="13">
        <f>IF($A146="","",IF(COUNTIFS(Session!$L$3:$L$202,Q146)=0,"⚠ no Session row","ok"))</f>
        <v/>
      </c>
      <c r="Q146" s="14">
        <f>IF($A146="","",$A146*10+IF($B146="",1,$B146))</f>
        <v/>
      </c>
    </row>
    <row r="147">
      <c r="A147" s="11" t="n"/>
      <c r="G147" s="12" t="n"/>
      <c r="K147" s="12" t="n"/>
      <c r="L147" s="13">
        <f>IF($A147="","",IF(COUNT(D147:F147)&lt;3,"",IF(MIN(D147:F147)&lt;=low_max,"LOW",IF(MIN(D147:F147)&lt;=watch_max,"WATCH","GOOD"))))</f>
        <v/>
      </c>
      <c r="M147" s="13">
        <f>IF($A147="","",IF(COUNT(H147:J147)&lt;3,"",IF(MIN((11-H147),I147,J147)&lt;=low_max,"LOW",IF(MIN((11-H147),I147,J147)&lt;=watch_max,"WATCH","GOOD"))))</f>
        <v/>
      </c>
      <c r="N147" s="13">
        <f>IF(OR(L147="LOW",M147="LOW"),"LOW",IF(OR(L147="WATCH",M147="WATCH"),"WATCH",IF(OR(L147="GOOD",M147="GOOD"),"GOOD","")))</f>
        <v/>
      </c>
      <c r="O147" s="13">
        <f>IF(COUNT(D147:F147,H147:J147)&lt;6,"",ROUND(AVERAGE(D147,E147,F147,(11-H147),I147,J147),1))</f>
        <v/>
      </c>
      <c r="P147" s="13">
        <f>IF($A147="","",IF(COUNTIFS(Session!$L$3:$L$202,Q147)=0,"⚠ no Session row","ok"))</f>
        <v/>
      </c>
      <c r="Q147" s="14">
        <f>IF($A147="","",$A147*10+IF($B147="",1,$B147))</f>
        <v/>
      </c>
    </row>
    <row r="148">
      <c r="A148" s="11" t="n"/>
      <c r="G148" s="12" t="n"/>
      <c r="K148" s="12" t="n"/>
      <c r="L148" s="13">
        <f>IF($A148="","",IF(COUNT(D148:F148)&lt;3,"",IF(MIN(D148:F148)&lt;=low_max,"LOW",IF(MIN(D148:F148)&lt;=watch_max,"WATCH","GOOD"))))</f>
        <v/>
      </c>
      <c r="M148" s="13">
        <f>IF($A148="","",IF(COUNT(H148:J148)&lt;3,"",IF(MIN((11-H148),I148,J148)&lt;=low_max,"LOW",IF(MIN((11-H148),I148,J148)&lt;=watch_max,"WATCH","GOOD"))))</f>
        <v/>
      </c>
      <c r="N148" s="13">
        <f>IF(OR(L148="LOW",M148="LOW"),"LOW",IF(OR(L148="WATCH",M148="WATCH"),"WATCH",IF(OR(L148="GOOD",M148="GOOD"),"GOOD","")))</f>
        <v/>
      </c>
      <c r="O148" s="13">
        <f>IF(COUNT(D148:F148,H148:J148)&lt;6,"",ROUND(AVERAGE(D148,E148,F148,(11-H148),I148,J148),1))</f>
        <v/>
      </c>
      <c r="P148" s="13">
        <f>IF($A148="","",IF(COUNTIFS(Session!$L$3:$L$202,Q148)=0,"⚠ no Session row","ok"))</f>
        <v/>
      </c>
      <c r="Q148" s="14">
        <f>IF($A148="","",$A148*10+IF($B148="",1,$B148))</f>
        <v/>
      </c>
    </row>
    <row r="149">
      <c r="A149" s="11" t="n"/>
      <c r="G149" s="12" t="n"/>
      <c r="K149" s="12" t="n"/>
      <c r="L149" s="13">
        <f>IF($A149="","",IF(COUNT(D149:F149)&lt;3,"",IF(MIN(D149:F149)&lt;=low_max,"LOW",IF(MIN(D149:F149)&lt;=watch_max,"WATCH","GOOD"))))</f>
        <v/>
      </c>
      <c r="M149" s="13">
        <f>IF($A149="","",IF(COUNT(H149:J149)&lt;3,"",IF(MIN((11-H149),I149,J149)&lt;=low_max,"LOW",IF(MIN((11-H149),I149,J149)&lt;=watch_max,"WATCH","GOOD"))))</f>
        <v/>
      </c>
      <c r="N149" s="13">
        <f>IF(OR(L149="LOW",M149="LOW"),"LOW",IF(OR(L149="WATCH",M149="WATCH"),"WATCH",IF(OR(L149="GOOD",M149="GOOD"),"GOOD","")))</f>
        <v/>
      </c>
      <c r="O149" s="13">
        <f>IF(COUNT(D149:F149,H149:J149)&lt;6,"",ROUND(AVERAGE(D149,E149,F149,(11-H149),I149,J149),1))</f>
        <v/>
      </c>
      <c r="P149" s="13">
        <f>IF($A149="","",IF(COUNTIFS(Session!$L$3:$L$202,Q149)=0,"⚠ no Session row","ok"))</f>
        <v/>
      </c>
      <c r="Q149" s="14">
        <f>IF($A149="","",$A149*10+IF($B149="",1,$B149))</f>
        <v/>
      </c>
    </row>
    <row r="150">
      <c r="A150" s="11" t="n"/>
      <c r="G150" s="12" t="n"/>
      <c r="K150" s="12" t="n"/>
      <c r="L150" s="13">
        <f>IF($A150="","",IF(COUNT(D150:F150)&lt;3,"",IF(MIN(D150:F150)&lt;=low_max,"LOW",IF(MIN(D150:F150)&lt;=watch_max,"WATCH","GOOD"))))</f>
        <v/>
      </c>
      <c r="M150" s="13">
        <f>IF($A150="","",IF(COUNT(H150:J150)&lt;3,"",IF(MIN((11-H150),I150,J150)&lt;=low_max,"LOW",IF(MIN((11-H150),I150,J150)&lt;=watch_max,"WATCH","GOOD"))))</f>
        <v/>
      </c>
      <c r="N150" s="13">
        <f>IF(OR(L150="LOW",M150="LOW"),"LOW",IF(OR(L150="WATCH",M150="WATCH"),"WATCH",IF(OR(L150="GOOD",M150="GOOD"),"GOOD","")))</f>
        <v/>
      </c>
      <c r="O150" s="13">
        <f>IF(COUNT(D150:F150,H150:J150)&lt;6,"",ROUND(AVERAGE(D150,E150,F150,(11-H150),I150,J150),1))</f>
        <v/>
      </c>
      <c r="P150" s="13">
        <f>IF($A150="","",IF(COUNTIFS(Session!$L$3:$L$202,Q150)=0,"⚠ no Session row","ok"))</f>
        <v/>
      </c>
      <c r="Q150" s="14">
        <f>IF($A150="","",$A150*10+IF($B150="",1,$B150))</f>
        <v/>
      </c>
    </row>
    <row r="151">
      <c r="A151" s="11" t="n"/>
      <c r="G151" s="12" t="n"/>
      <c r="K151" s="12" t="n"/>
      <c r="L151" s="13">
        <f>IF($A151="","",IF(COUNT(D151:F151)&lt;3,"",IF(MIN(D151:F151)&lt;=low_max,"LOW",IF(MIN(D151:F151)&lt;=watch_max,"WATCH","GOOD"))))</f>
        <v/>
      </c>
      <c r="M151" s="13">
        <f>IF($A151="","",IF(COUNT(H151:J151)&lt;3,"",IF(MIN((11-H151),I151,J151)&lt;=low_max,"LOW",IF(MIN((11-H151),I151,J151)&lt;=watch_max,"WATCH","GOOD"))))</f>
        <v/>
      </c>
      <c r="N151" s="13">
        <f>IF(OR(L151="LOW",M151="LOW"),"LOW",IF(OR(L151="WATCH",M151="WATCH"),"WATCH",IF(OR(L151="GOOD",M151="GOOD"),"GOOD","")))</f>
        <v/>
      </c>
      <c r="O151" s="13">
        <f>IF(COUNT(D151:F151,H151:J151)&lt;6,"",ROUND(AVERAGE(D151,E151,F151,(11-H151),I151,J151),1))</f>
        <v/>
      </c>
      <c r="P151" s="13">
        <f>IF($A151="","",IF(COUNTIFS(Session!$L$3:$L$202,Q151)=0,"⚠ no Session row","ok"))</f>
        <v/>
      </c>
      <c r="Q151" s="14">
        <f>IF($A151="","",$A151*10+IF($B151="",1,$B151))</f>
        <v/>
      </c>
    </row>
    <row r="152">
      <c r="A152" s="11" t="n"/>
      <c r="G152" s="12" t="n"/>
      <c r="K152" s="12" t="n"/>
      <c r="L152" s="13">
        <f>IF($A152="","",IF(COUNT(D152:F152)&lt;3,"",IF(MIN(D152:F152)&lt;=low_max,"LOW",IF(MIN(D152:F152)&lt;=watch_max,"WATCH","GOOD"))))</f>
        <v/>
      </c>
      <c r="M152" s="13">
        <f>IF($A152="","",IF(COUNT(H152:J152)&lt;3,"",IF(MIN((11-H152),I152,J152)&lt;=low_max,"LOW",IF(MIN((11-H152),I152,J152)&lt;=watch_max,"WATCH","GOOD"))))</f>
        <v/>
      </c>
      <c r="N152" s="13">
        <f>IF(OR(L152="LOW",M152="LOW"),"LOW",IF(OR(L152="WATCH",M152="WATCH"),"WATCH",IF(OR(L152="GOOD",M152="GOOD"),"GOOD","")))</f>
        <v/>
      </c>
      <c r="O152" s="13">
        <f>IF(COUNT(D152:F152,H152:J152)&lt;6,"",ROUND(AVERAGE(D152,E152,F152,(11-H152),I152,J152),1))</f>
        <v/>
      </c>
      <c r="P152" s="13">
        <f>IF($A152="","",IF(COUNTIFS(Session!$L$3:$L$202,Q152)=0,"⚠ no Session row","ok"))</f>
        <v/>
      </c>
      <c r="Q152" s="14">
        <f>IF($A152="","",$A152*10+IF($B152="",1,$B152))</f>
        <v/>
      </c>
    </row>
    <row r="153">
      <c r="A153" s="11" t="n"/>
      <c r="G153" s="12" t="n"/>
      <c r="K153" s="12" t="n"/>
      <c r="L153" s="13">
        <f>IF($A153="","",IF(COUNT(D153:F153)&lt;3,"",IF(MIN(D153:F153)&lt;=low_max,"LOW",IF(MIN(D153:F153)&lt;=watch_max,"WATCH","GOOD"))))</f>
        <v/>
      </c>
      <c r="M153" s="13">
        <f>IF($A153="","",IF(COUNT(H153:J153)&lt;3,"",IF(MIN((11-H153),I153,J153)&lt;=low_max,"LOW",IF(MIN((11-H153),I153,J153)&lt;=watch_max,"WATCH","GOOD"))))</f>
        <v/>
      </c>
      <c r="N153" s="13">
        <f>IF(OR(L153="LOW",M153="LOW"),"LOW",IF(OR(L153="WATCH",M153="WATCH"),"WATCH",IF(OR(L153="GOOD",M153="GOOD"),"GOOD","")))</f>
        <v/>
      </c>
      <c r="O153" s="13">
        <f>IF(COUNT(D153:F153,H153:J153)&lt;6,"",ROUND(AVERAGE(D153,E153,F153,(11-H153),I153,J153),1))</f>
        <v/>
      </c>
      <c r="P153" s="13">
        <f>IF($A153="","",IF(COUNTIFS(Session!$L$3:$L$202,Q153)=0,"⚠ no Session row","ok"))</f>
        <v/>
      </c>
      <c r="Q153" s="14">
        <f>IF($A153="","",$A153*10+IF($B153="",1,$B153))</f>
        <v/>
      </c>
    </row>
    <row r="154">
      <c r="A154" s="11" t="n"/>
      <c r="G154" s="12" t="n"/>
      <c r="K154" s="12" t="n"/>
      <c r="L154" s="13">
        <f>IF($A154="","",IF(COUNT(D154:F154)&lt;3,"",IF(MIN(D154:F154)&lt;=low_max,"LOW",IF(MIN(D154:F154)&lt;=watch_max,"WATCH","GOOD"))))</f>
        <v/>
      </c>
      <c r="M154" s="13">
        <f>IF($A154="","",IF(COUNT(H154:J154)&lt;3,"",IF(MIN((11-H154),I154,J154)&lt;=low_max,"LOW",IF(MIN((11-H154),I154,J154)&lt;=watch_max,"WATCH","GOOD"))))</f>
        <v/>
      </c>
      <c r="N154" s="13">
        <f>IF(OR(L154="LOW",M154="LOW"),"LOW",IF(OR(L154="WATCH",M154="WATCH"),"WATCH",IF(OR(L154="GOOD",M154="GOOD"),"GOOD","")))</f>
        <v/>
      </c>
      <c r="O154" s="13">
        <f>IF(COUNT(D154:F154,H154:J154)&lt;6,"",ROUND(AVERAGE(D154,E154,F154,(11-H154),I154,J154),1))</f>
        <v/>
      </c>
      <c r="P154" s="13">
        <f>IF($A154="","",IF(COUNTIFS(Session!$L$3:$L$202,Q154)=0,"⚠ no Session row","ok"))</f>
        <v/>
      </c>
      <c r="Q154" s="14">
        <f>IF($A154="","",$A154*10+IF($B154="",1,$B154))</f>
        <v/>
      </c>
    </row>
    <row r="155">
      <c r="A155" s="11" t="n"/>
      <c r="G155" s="12" t="n"/>
      <c r="K155" s="12" t="n"/>
      <c r="L155" s="13">
        <f>IF($A155="","",IF(COUNT(D155:F155)&lt;3,"",IF(MIN(D155:F155)&lt;=low_max,"LOW",IF(MIN(D155:F155)&lt;=watch_max,"WATCH","GOOD"))))</f>
        <v/>
      </c>
      <c r="M155" s="13">
        <f>IF($A155="","",IF(COUNT(H155:J155)&lt;3,"",IF(MIN((11-H155),I155,J155)&lt;=low_max,"LOW",IF(MIN((11-H155),I155,J155)&lt;=watch_max,"WATCH","GOOD"))))</f>
        <v/>
      </c>
      <c r="N155" s="13">
        <f>IF(OR(L155="LOW",M155="LOW"),"LOW",IF(OR(L155="WATCH",M155="WATCH"),"WATCH",IF(OR(L155="GOOD",M155="GOOD"),"GOOD","")))</f>
        <v/>
      </c>
      <c r="O155" s="13">
        <f>IF(COUNT(D155:F155,H155:J155)&lt;6,"",ROUND(AVERAGE(D155,E155,F155,(11-H155),I155,J155),1))</f>
        <v/>
      </c>
      <c r="P155" s="13">
        <f>IF($A155="","",IF(COUNTIFS(Session!$L$3:$L$202,Q155)=0,"⚠ no Session row","ok"))</f>
        <v/>
      </c>
      <c r="Q155" s="14">
        <f>IF($A155="","",$A155*10+IF($B155="",1,$B155))</f>
        <v/>
      </c>
    </row>
    <row r="156">
      <c r="A156" s="11" t="n"/>
      <c r="G156" s="12" t="n"/>
      <c r="K156" s="12" t="n"/>
      <c r="L156" s="13">
        <f>IF($A156="","",IF(COUNT(D156:F156)&lt;3,"",IF(MIN(D156:F156)&lt;=low_max,"LOW",IF(MIN(D156:F156)&lt;=watch_max,"WATCH","GOOD"))))</f>
        <v/>
      </c>
      <c r="M156" s="13">
        <f>IF($A156="","",IF(COUNT(H156:J156)&lt;3,"",IF(MIN((11-H156),I156,J156)&lt;=low_max,"LOW",IF(MIN((11-H156),I156,J156)&lt;=watch_max,"WATCH","GOOD"))))</f>
        <v/>
      </c>
      <c r="N156" s="13">
        <f>IF(OR(L156="LOW",M156="LOW"),"LOW",IF(OR(L156="WATCH",M156="WATCH"),"WATCH",IF(OR(L156="GOOD",M156="GOOD"),"GOOD","")))</f>
        <v/>
      </c>
      <c r="O156" s="13">
        <f>IF(COUNT(D156:F156,H156:J156)&lt;6,"",ROUND(AVERAGE(D156,E156,F156,(11-H156),I156,J156),1))</f>
        <v/>
      </c>
      <c r="P156" s="13">
        <f>IF($A156="","",IF(COUNTIFS(Session!$L$3:$L$202,Q156)=0,"⚠ no Session row","ok"))</f>
        <v/>
      </c>
      <c r="Q156" s="14">
        <f>IF($A156="","",$A156*10+IF($B156="",1,$B156))</f>
        <v/>
      </c>
    </row>
    <row r="157">
      <c r="A157" s="11" t="n"/>
      <c r="G157" s="12" t="n"/>
      <c r="K157" s="12" t="n"/>
      <c r="L157" s="13">
        <f>IF($A157="","",IF(COUNT(D157:F157)&lt;3,"",IF(MIN(D157:F157)&lt;=low_max,"LOW",IF(MIN(D157:F157)&lt;=watch_max,"WATCH","GOOD"))))</f>
        <v/>
      </c>
      <c r="M157" s="13">
        <f>IF($A157="","",IF(COUNT(H157:J157)&lt;3,"",IF(MIN((11-H157),I157,J157)&lt;=low_max,"LOW",IF(MIN((11-H157),I157,J157)&lt;=watch_max,"WATCH","GOOD"))))</f>
        <v/>
      </c>
      <c r="N157" s="13">
        <f>IF(OR(L157="LOW",M157="LOW"),"LOW",IF(OR(L157="WATCH",M157="WATCH"),"WATCH",IF(OR(L157="GOOD",M157="GOOD"),"GOOD","")))</f>
        <v/>
      </c>
      <c r="O157" s="13">
        <f>IF(COUNT(D157:F157,H157:J157)&lt;6,"",ROUND(AVERAGE(D157,E157,F157,(11-H157),I157,J157),1))</f>
        <v/>
      </c>
      <c r="P157" s="13">
        <f>IF($A157="","",IF(COUNTIFS(Session!$L$3:$L$202,Q157)=0,"⚠ no Session row","ok"))</f>
        <v/>
      </c>
      <c r="Q157" s="14">
        <f>IF($A157="","",$A157*10+IF($B157="",1,$B157))</f>
        <v/>
      </c>
    </row>
    <row r="158">
      <c r="A158" s="11" t="n"/>
      <c r="G158" s="12" t="n"/>
      <c r="K158" s="12" t="n"/>
      <c r="L158" s="13">
        <f>IF($A158="","",IF(COUNT(D158:F158)&lt;3,"",IF(MIN(D158:F158)&lt;=low_max,"LOW",IF(MIN(D158:F158)&lt;=watch_max,"WATCH","GOOD"))))</f>
        <v/>
      </c>
      <c r="M158" s="13">
        <f>IF($A158="","",IF(COUNT(H158:J158)&lt;3,"",IF(MIN((11-H158),I158,J158)&lt;=low_max,"LOW",IF(MIN((11-H158),I158,J158)&lt;=watch_max,"WATCH","GOOD"))))</f>
        <v/>
      </c>
      <c r="N158" s="13">
        <f>IF(OR(L158="LOW",M158="LOW"),"LOW",IF(OR(L158="WATCH",M158="WATCH"),"WATCH",IF(OR(L158="GOOD",M158="GOOD"),"GOOD","")))</f>
        <v/>
      </c>
      <c r="O158" s="13">
        <f>IF(COUNT(D158:F158,H158:J158)&lt;6,"",ROUND(AVERAGE(D158,E158,F158,(11-H158),I158,J158),1))</f>
        <v/>
      </c>
      <c r="P158" s="13">
        <f>IF($A158="","",IF(COUNTIFS(Session!$L$3:$L$202,Q158)=0,"⚠ no Session row","ok"))</f>
        <v/>
      </c>
      <c r="Q158" s="14">
        <f>IF($A158="","",$A158*10+IF($B158="",1,$B158))</f>
        <v/>
      </c>
    </row>
    <row r="159">
      <c r="A159" s="11" t="n"/>
      <c r="G159" s="12" t="n"/>
      <c r="K159" s="12" t="n"/>
      <c r="L159" s="13">
        <f>IF($A159="","",IF(COUNT(D159:F159)&lt;3,"",IF(MIN(D159:F159)&lt;=low_max,"LOW",IF(MIN(D159:F159)&lt;=watch_max,"WATCH","GOOD"))))</f>
        <v/>
      </c>
      <c r="M159" s="13">
        <f>IF($A159="","",IF(COUNT(H159:J159)&lt;3,"",IF(MIN((11-H159),I159,J159)&lt;=low_max,"LOW",IF(MIN((11-H159),I159,J159)&lt;=watch_max,"WATCH","GOOD"))))</f>
        <v/>
      </c>
      <c r="N159" s="13">
        <f>IF(OR(L159="LOW",M159="LOW"),"LOW",IF(OR(L159="WATCH",M159="WATCH"),"WATCH",IF(OR(L159="GOOD",M159="GOOD"),"GOOD","")))</f>
        <v/>
      </c>
      <c r="O159" s="13">
        <f>IF(COUNT(D159:F159,H159:J159)&lt;6,"",ROUND(AVERAGE(D159,E159,F159,(11-H159),I159,J159),1))</f>
        <v/>
      </c>
      <c r="P159" s="13">
        <f>IF($A159="","",IF(COUNTIFS(Session!$L$3:$L$202,Q159)=0,"⚠ no Session row","ok"))</f>
        <v/>
      </c>
      <c r="Q159" s="14">
        <f>IF($A159="","",$A159*10+IF($B159="",1,$B159))</f>
        <v/>
      </c>
    </row>
    <row r="160">
      <c r="A160" s="11" t="n"/>
      <c r="G160" s="12" t="n"/>
      <c r="K160" s="12" t="n"/>
      <c r="L160" s="13">
        <f>IF($A160="","",IF(COUNT(D160:F160)&lt;3,"",IF(MIN(D160:F160)&lt;=low_max,"LOW",IF(MIN(D160:F160)&lt;=watch_max,"WATCH","GOOD"))))</f>
        <v/>
      </c>
      <c r="M160" s="13">
        <f>IF($A160="","",IF(COUNT(H160:J160)&lt;3,"",IF(MIN((11-H160),I160,J160)&lt;=low_max,"LOW",IF(MIN((11-H160),I160,J160)&lt;=watch_max,"WATCH","GOOD"))))</f>
        <v/>
      </c>
      <c r="N160" s="13">
        <f>IF(OR(L160="LOW",M160="LOW"),"LOW",IF(OR(L160="WATCH",M160="WATCH"),"WATCH",IF(OR(L160="GOOD",M160="GOOD"),"GOOD","")))</f>
        <v/>
      </c>
      <c r="O160" s="13">
        <f>IF(COUNT(D160:F160,H160:J160)&lt;6,"",ROUND(AVERAGE(D160,E160,F160,(11-H160),I160,J160),1))</f>
        <v/>
      </c>
      <c r="P160" s="13">
        <f>IF($A160="","",IF(COUNTIFS(Session!$L$3:$L$202,Q160)=0,"⚠ no Session row","ok"))</f>
        <v/>
      </c>
      <c r="Q160" s="14">
        <f>IF($A160="","",$A160*10+IF($B160="",1,$B160))</f>
        <v/>
      </c>
    </row>
    <row r="161">
      <c r="A161" s="11" t="n"/>
      <c r="G161" s="12" t="n"/>
      <c r="K161" s="12" t="n"/>
      <c r="L161" s="13">
        <f>IF($A161="","",IF(COUNT(D161:F161)&lt;3,"",IF(MIN(D161:F161)&lt;=low_max,"LOW",IF(MIN(D161:F161)&lt;=watch_max,"WATCH","GOOD"))))</f>
        <v/>
      </c>
      <c r="M161" s="13">
        <f>IF($A161="","",IF(COUNT(H161:J161)&lt;3,"",IF(MIN((11-H161),I161,J161)&lt;=low_max,"LOW",IF(MIN((11-H161),I161,J161)&lt;=watch_max,"WATCH","GOOD"))))</f>
        <v/>
      </c>
      <c r="N161" s="13">
        <f>IF(OR(L161="LOW",M161="LOW"),"LOW",IF(OR(L161="WATCH",M161="WATCH"),"WATCH",IF(OR(L161="GOOD",M161="GOOD"),"GOOD","")))</f>
        <v/>
      </c>
      <c r="O161" s="13">
        <f>IF(COUNT(D161:F161,H161:J161)&lt;6,"",ROUND(AVERAGE(D161,E161,F161,(11-H161),I161,J161),1))</f>
        <v/>
      </c>
      <c r="P161" s="13">
        <f>IF($A161="","",IF(COUNTIFS(Session!$L$3:$L$202,Q161)=0,"⚠ no Session row","ok"))</f>
        <v/>
      </c>
      <c r="Q161" s="14">
        <f>IF($A161="","",$A161*10+IF($B161="",1,$B161))</f>
        <v/>
      </c>
    </row>
    <row r="162">
      <c r="A162" s="11" t="n"/>
      <c r="G162" s="12" t="n"/>
      <c r="K162" s="12" t="n"/>
      <c r="L162" s="13">
        <f>IF($A162="","",IF(COUNT(D162:F162)&lt;3,"",IF(MIN(D162:F162)&lt;=low_max,"LOW",IF(MIN(D162:F162)&lt;=watch_max,"WATCH","GOOD"))))</f>
        <v/>
      </c>
      <c r="M162" s="13">
        <f>IF($A162="","",IF(COUNT(H162:J162)&lt;3,"",IF(MIN((11-H162),I162,J162)&lt;=low_max,"LOW",IF(MIN((11-H162),I162,J162)&lt;=watch_max,"WATCH","GOOD"))))</f>
        <v/>
      </c>
      <c r="N162" s="13">
        <f>IF(OR(L162="LOW",M162="LOW"),"LOW",IF(OR(L162="WATCH",M162="WATCH"),"WATCH",IF(OR(L162="GOOD",M162="GOOD"),"GOOD","")))</f>
        <v/>
      </c>
      <c r="O162" s="13">
        <f>IF(COUNT(D162:F162,H162:J162)&lt;6,"",ROUND(AVERAGE(D162,E162,F162,(11-H162),I162,J162),1))</f>
        <v/>
      </c>
      <c r="P162" s="13">
        <f>IF($A162="","",IF(COUNTIFS(Session!$L$3:$L$202,Q162)=0,"⚠ no Session row","ok"))</f>
        <v/>
      </c>
      <c r="Q162" s="14">
        <f>IF($A162="","",$A162*10+IF($B162="",1,$B162))</f>
        <v/>
      </c>
    </row>
    <row r="163">
      <c r="A163" s="11" t="n"/>
      <c r="G163" s="12" t="n"/>
      <c r="K163" s="12" t="n"/>
      <c r="L163" s="13">
        <f>IF($A163="","",IF(COUNT(D163:F163)&lt;3,"",IF(MIN(D163:F163)&lt;=low_max,"LOW",IF(MIN(D163:F163)&lt;=watch_max,"WATCH","GOOD"))))</f>
        <v/>
      </c>
      <c r="M163" s="13">
        <f>IF($A163="","",IF(COUNT(H163:J163)&lt;3,"",IF(MIN((11-H163),I163,J163)&lt;=low_max,"LOW",IF(MIN((11-H163),I163,J163)&lt;=watch_max,"WATCH","GOOD"))))</f>
        <v/>
      </c>
      <c r="N163" s="13">
        <f>IF(OR(L163="LOW",M163="LOW"),"LOW",IF(OR(L163="WATCH",M163="WATCH"),"WATCH",IF(OR(L163="GOOD",M163="GOOD"),"GOOD","")))</f>
        <v/>
      </c>
      <c r="O163" s="13">
        <f>IF(COUNT(D163:F163,H163:J163)&lt;6,"",ROUND(AVERAGE(D163,E163,F163,(11-H163),I163,J163),1))</f>
        <v/>
      </c>
      <c r="P163" s="13">
        <f>IF($A163="","",IF(COUNTIFS(Session!$L$3:$L$202,Q163)=0,"⚠ no Session row","ok"))</f>
        <v/>
      </c>
      <c r="Q163" s="14">
        <f>IF($A163="","",$A163*10+IF($B163="",1,$B163))</f>
        <v/>
      </c>
    </row>
    <row r="164">
      <c r="A164" s="11" t="n"/>
      <c r="G164" s="12" t="n"/>
      <c r="K164" s="12" t="n"/>
      <c r="L164" s="13">
        <f>IF($A164="","",IF(COUNT(D164:F164)&lt;3,"",IF(MIN(D164:F164)&lt;=low_max,"LOW",IF(MIN(D164:F164)&lt;=watch_max,"WATCH","GOOD"))))</f>
        <v/>
      </c>
      <c r="M164" s="13">
        <f>IF($A164="","",IF(COUNT(H164:J164)&lt;3,"",IF(MIN((11-H164),I164,J164)&lt;=low_max,"LOW",IF(MIN((11-H164),I164,J164)&lt;=watch_max,"WATCH","GOOD"))))</f>
        <v/>
      </c>
      <c r="N164" s="13">
        <f>IF(OR(L164="LOW",M164="LOW"),"LOW",IF(OR(L164="WATCH",M164="WATCH"),"WATCH",IF(OR(L164="GOOD",M164="GOOD"),"GOOD","")))</f>
        <v/>
      </c>
      <c r="O164" s="13">
        <f>IF(COUNT(D164:F164,H164:J164)&lt;6,"",ROUND(AVERAGE(D164,E164,F164,(11-H164),I164,J164),1))</f>
        <v/>
      </c>
      <c r="P164" s="13">
        <f>IF($A164="","",IF(COUNTIFS(Session!$L$3:$L$202,Q164)=0,"⚠ no Session row","ok"))</f>
        <v/>
      </c>
      <c r="Q164" s="14">
        <f>IF($A164="","",$A164*10+IF($B164="",1,$B164))</f>
        <v/>
      </c>
    </row>
    <row r="165">
      <c r="A165" s="11" t="n"/>
      <c r="G165" s="12" t="n"/>
      <c r="K165" s="12" t="n"/>
      <c r="L165" s="13">
        <f>IF($A165="","",IF(COUNT(D165:F165)&lt;3,"",IF(MIN(D165:F165)&lt;=low_max,"LOW",IF(MIN(D165:F165)&lt;=watch_max,"WATCH","GOOD"))))</f>
        <v/>
      </c>
      <c r="M165" s="13">
        <f>IF($A165="","",IF(COUNT(H165:J165)&lt;3,"",IF(MIN((11-H165),I165,J165)&lt;=low_max,"LOW",IF(MIN((11-H165),I165,J165)&lt;=watch_max,"WATCH","GOOD"))))</f>
        <v/>
      </c>
      <c r="N165" s="13">
        <f>IF(OR(L165="LOW",M165="LOW"),"LOW",IF(OR(L165="WATCH",M165="WATCH"),"WATCH",IF(OR(L165="GOOD",M165="GOOD"),"GOOD","")))</f>
        <v/>
      </c>
      <c r="O165" s="13">
        <f>IF(COUNT(D165:F165,H165:J165)&lt;6,"",ROUND(AVERAGE(D165,E165,F165,(11-H165),I165,J165),1))</f>
        <v/>
      </c>
      <c r="P165" s="13">
        <f>IF($A165="","",IF(COUNTIFS(Session!$L$3:$L$202,Q165)=0,"⚠ no Session row","ok"))</f>
        <v/>
      </c>
      <c r="Q165" s="14">
        <f>IF($A165="","",$A165*10+IF($B165="",1,$B165))</f>
        <v/>
      </c>
    </row>
    <row r="166">
      <c r="A166" s="11" t="n"/>
      <c r="G166" s="12" t="n"/>
      <c r="K166" s="12" t="n"/>
      <c r="L166" s="13">
        <f>IF($A166="","",IF(COUNT(D166:F166)&lt;3,"",IF(MIN(D166:F166)&lt;=low_max,"LOW",IF(MIN(D166:F166)&lt;=watch_max,"WATCH","GOOD"))))</f>
        <v/>
      </c>
      <c r="M166" s="13">
        <f>IF($A166="","",IF(COUNT(H166:J166)&lt;3,"",IF(MIN((11-H166),I166,J166)&lt;=low_max,"LOW",IF(MIN((11-H166),I166,J166)&lt;=watch_max,"WATCH","GOOD"))))</f>
        <v/>
      </c>
      <c r="N166" s="13">
        <f>IF(OR(L166="LOW",M166="LOW"),"LOW",IF(OR(L166="WATCH",M166="WATCH"),"WATCH",IF(OR(L166="GOOD",M166="GOOD"),"GOOD","")))</f>
        <v/>
      </c>
      <c r="O166" s="13">
        <f>IF(COUNT(D166:F166,H166:J166)&lt;6,"",ROUND(AVERAGE(D166,E166,F166,(11-H166),I166,J166),1))</f>
        <v/>
      </c>
      <c r="P166" s="13">
        <f>IF($A166="","",IF(COUNTIFS(Session!$L$3:$L$202,Q166)=0,"⚠ no Session row","ok"))</f>
        <v/>
      </c>
      <c r="Q166" s="14">
        <f>IF($A166="","",$A166*10+IF($B166="",1,$B166))</f>
        <v/>
      </c>
    </row>
    <row r="167">
      <c r="A167" s="11" t="n"/>
      <c r="G167" s="12" t="n"/>
      <c r="K167" s="12" t="n"/>
      <c r="L167" s="13">
        <f>IF($A167="","",IF(COUNT(D167:F167)&lt;3,"",IF(MIN(D167:F167)&lt;=low_max,"LOW",IF(MIN(D167:F167)&lt;=watch_max,"WATCH","GOOD"))))</f>
        <v/>
      </c>
      <c r="M167" s="13">
        <f>IF($A167="","",IF(COUNT(H167:J167)&lt;3,"",IF(MIN((11-H167),I167,J167)&lt;=low_max,"LOW",IF(MIN((11-H167),I167,J167)&lt;=watch_max,"WATCH","GOOD"))))</f>
        <v/>
      </c>
      <c r="N167" s="13">
        <f>IF(OR(L167="LOW",M167="LOW"),"LOW",IF(OR(L167="WATCH",M167="WATCH"),"WATCH",IF(OR(L167="GOOD",M167="GOOD"),"GOOD","")))</f>
        <v/>
      </c>
      <c r="O167" s="13">
        <f>IF(COUNT(D167:F167,H167:J167)&lt;6,"",ROUND(AVERAGE(D167,E167,F167,(11-H167),I167,J167),1))</f>
        <v/>
      </c>
      <c r="P167" s="13">
        <f>IF($A167="","",IF(COUNTIFS(Session!$L$3:$L$202,Q167)=0,"⚠ no Session row","ok"))</f>
        <v/>
      </c>
      <c r="Q167" s="14">
        <f>IF($A167="","",$A167*10+IF($B167="",1,$B167))</f>
        <v/>
      </c>
    </row>
    <row r="168">
      <c r="A168" s="11" t="n"/>
      <c r="G168" s="12" t="n"/>
      <c r="K168" s="12" t="n"/>
      <c r="L168" s="13">
        <f>IF($A168="","",IF(COUNT(D168:F168)&lt;3,"",IF(MIN(D168:F168)&lt;=low_max,"LOW",IF(MIN(D168:F168)&lt;=watch_max,"WATCH","GOOD"))))</f>
        <v/>
      </c>
      <c r="M168" s="13">
        <f>IF($A168="","",IF(COUNT(H168:J168)&lt;3,"",IF(MIN((11-H168),I168,J168)&lt;=low_max,"LOW",IF(MIN((11-H168),I168,J168)&lt;=watch_max,"WATCH","GOOD"))))</f>
        <v/>
      </c>
      <c r="N168" s="13">
        <f>IF(OR(L168="LOW",M168="LOW"),"LOW",IF(OR(L168="WATCH",M168="WATCH"),"WATCH",IF(OR(L168="GOOD",M168="GOOD"),"GOOD","")))</f>
        <v/>
      </c>
      <c r="O168" s="13">
        <f>IF(COUNT(D168:F168,H168:J168)&lt;6,"",ROUND(AVERAGE(D168,E168,F168,(11-H168),I168,J168),1))</f>
        <v/>
      </c>
      <c r="P168" s="13">
        <f>IF($A168="","",IF(COUNTIFS(Session!$L$3:$L$202,Q168)=0,"⚠ no Session row","ok"))</f>
        <v/>
      </c>
      <c r="Q168" s="14">
        <f>IF($A168="","",$A168*10+IF($B168="",1,$B168))</f>
        <v/>
      </c>
    </row>
    <row r="169">
      <c r="A169" s="11" t="n"/>
      <c r="G169" s="12" t="n"/>
      <c r="K169" s="12" t="n"/>
      <c r="L169" s="13">
        <f>IF($A169="","",IF(COUNT(D169:F169)&lt;3,"",IF(MIN(D169:F169)&lt;=low_max,"LOW",IF(MIN(D169:F169)&lt;=watch_max,"WATCH","GOOD"))))</f>
        <v/>
      </c>
      <c r="M169" s="13">
        <f>IF($A169="","",IF(COUNT(H169:J169)&lt;3,"",IF(MIN((11-H169),I169,J169)&lt;=low_max,"LOW",IF(MIN((11-H169),I169,J169)&lt;=watch_max,"WATCH","GOOD"))))</f>
        <v/>
      </c>
      <c r="N169" s="13">
        <f>IF(OR(L169="LOW",M169="LOW"),"LOW",IF(OR(L169="WATCH",M169="WATCH"),"WATCH",IF(OR(L169="GOOD",M169="GOOD"),"GOOD","")))</f>
        <v/>
      </c>
      <c r="O169" s="13">
        <f>IF(COUNT(D169:F169,H169:J169)&lt;6,"",ROUND(AVERAGE(D169,E169,F169,(11-H169),I169,J169),1))</f>
        <v/>
      </c>
      <c r="P169" s="13">
        <f>IF($A169="","",IF(COUNTIFS(Session!$L$3:$L$202,Q169)=0,"⚠ no Session row","ok"))</f>
        <v/>
      </c>
      <c r="Q169" s="14">
        <f>IF($A169="","",$A169*10+IF($B169="",1,$B169))</f>
        <v/>
      </c>
    </row>
    <row r="170">
      <c r="A170" s="11" t="n"/>
      <c r="G170" s="12" t="n"/>
      <c r="K170" s="12" t="n"/>
      <c r="L170" s="13">
        <f>IF($A170="","",IF(COUNT(D170:F170)&lt;3,"",IF(MIN(D170:F170)&lt;=low_max,"LOW",IF(MIN(D170:F170)&lt;=watch_max,"WATCH","GOOD"))))</f>
        <v/>
      </c>
      <c r="M170" s="13">
        <f>IF($A170="","",IF(COUNT(H170:J170)&lt;3,"",IF(MIN((11-H170),I170,J170)&lt;=low_max,"LOW",IF(MIN((11-H170),I170,J170)&lt;=watch_max,"WATCH","GOOD"))))</f>
        <v/>
      </c>
      <c r="N170" s="13">
        <f>IF(OR(L170="LOW",M170="LOW"),"LOW",IF(OR(L170="WATCH",M170="WATCH"),"WATCH",IF(OR(L170="GOOD",M170="GOOD"),"GOOD","")))</f>
        <v/>
      </c>
      <c r="O170" s="13">
        <f>IF(COUNT(D170:F170,H170:J170)&lt;6,"",ROUND(AVERAGE(D170,E170,F170,(11-H170),I170,J170),1))</f>
        <v/>
      </c>
      <c r="P170" s="13">
        <f>IF($A170="","",IF(COUNTIFS(Session!$L$3:$L$202,Q170)=0,"⚠ no Session row","ok"))</f>
        <v/>
      </c>
      <c r="Q170" s="14">
        <f>IF($A170="","",$A170*10+IF($B170="",1,$B170))</f>
        <v/>
      </c>
    </row>
    <row r="171">
      <c r="A171" s="11" t="n"/>
      <c r="G171" s="12" t="n"/>
      <c r="K171" s="12" t="n"/>
      <c r="L171" s="13">
        <f>IF($A171="","",IF(COUNT(D171:F171)&lt;3,"",IF(MIN(D171:F171)&lt;=low_max,"LOW",IF(MIN(D171:F171)&lt;=watch_max,"WATCH","GOOD"))))</f>
        <v/>
      </c>
      <c r="M171" s="13">
        <f>IF($A171="","",IF(COUNT(H171:J171)&lt;3,"",IF(MIN((11-H171),I171,J171)&lt;=low_max,"LOW",IF(MIN((11-H171),I171,J171)&lt;=watch_max,"WATCH","GOOD"))))</f>
        <v/>
      </c>
      <c r="N171" s="13">
        <f>IF(OR(L171="LOW",M171="LOW"),"LOW",IF(OR(L171="WATCH",M171="WATCH"),"WATCH",IF(OR(L171="GOOD",M171="GOOD"),"GOOD","")))</f>
        <v/>
      </c>
      <c r="O171" s="13">
        <f>IF(COUNT(D171:F171,H171:J171)&lt;6,"",ROUND(AVERAGE(D171,E171,F171,(11-H171),I171,J171),1))</f>
        <v/>
      </c>
      <c r="P171" s="13">
        <f>IF($A171="","",IF(COUNTIFS(Session!$L$3:$L$202,Q171)=0,"⚠ no Session row","ok"))</f>
        <v/>
      </c>
      <c r="Q171" s="14">
        <f>IF($A171="","",$A171*10+IF($B171="",1,$B171))</f>
        <v/>
      </c>
    </row>
    <row r="172">
      <c r="A172" s="11" t="n"/>
      <c r="G172" s="12" t="n"/>
      <c r="K172" s="12" t="n"/>
      <c r="L172" s="13">
        <f>IF($A172="","",IF(COUNT(D172:F172)&lt;3,"",IF(MIN(D172:F172)&lt;=low_max,"LOW",IF(MIN(D172:F172)&lt;=watch_max,"WATCH","GOOD"))))</f>
        <v/>
      </c>
      <c r="M172" s="13">
        <f>IF($A172="","",IF(COUNT(H172:J172)&lt;3,"",IF(MIN((11-H172),I172,J172)&lt;=low_max,"LOW",IF(MIN((11-H172),I172,J172)&lt;=watch_max,"WATCH","GOOD"))))</f>
        <v/>
      </c>
      <c r="N172" s="13">
        <f>IF(OR(L172="LOW",M172="LOW"),"LOW",IF(OR(L172="WATCH",M172="WATCH"),"WATCH",IF(OR(L172="GOOD",M172="GOOD"),"GOOD","")))</f>
        <v/>
      </c>
      <c r="O172" s="13">
        <f>IF(COUNT(D172:F172,H172:J172)&lt;6,"",ROUND(AVERAGE(D172,E172,F172,(11-H172),I172,J172),1))</f>
        <v/>
      </c>
      <c r="P172" s="13">
        <f>IF($A172="","",IF(COUNTIFS(Session!$L$3:$L$202,Q172)=0,"⚠ no Session row","ok"))</f>
        <v/>
      </c>
      <c r="Q172" s="14">
        <f>IF($A172="","",$A172*10+IF($B172="",1,$B172))</f>
        <v/>
      </c>
    </row>
    <row r="173">
      <c r="A173" s="11" t="n"/>
      <c r="G173" s="12" t="n"/>
      <c r="K173" s="12" t="n"/>
      <c r="L173" s="13">
        <f>IF($A173="","",IF(COUNT(D173:F173)&lt;3,"",IF(MIN(D173:F173)&lt;=low_max,"LOW",IF(MIN(D173:F173)&lt;=watch_max,"WATCH","GOOD"))))</f>
        <v/>
      </c>
      <c r="M173" s="13">
        <f>IF($A173="","",IF(COUNT(H173:J173)&lt;3,"",IF(MIN((11-H173),I173,J173)&lt;=low_max,"LOW",IF(MIN((11-H173),I173,J173)&lt;=watch_max,"WATCH","GOOD"))))</f>
        <v/>
      </c>
      <c r="N173" s="13">
        <f>IF(OR(L173="LOW",M173="LOW"),"LOW",IF(OR(L173="WATCH",M173="WATCH"),"WATCH",IF(OR(L173="GOOD",M173="GOOD"),"GOOD","")))</f>
        <v/>
      </c>
      <c r="O173" s="13">
        <f>IF(COUNT(D173:F173,H173:J173)&lt;6,"",ROUND(AVERAGE(D173,E173,F173,(11-H173),I173,J173),1))</f>
        <v/>
      </c>
      <c r="P173" s="13">
        <f>IF($A173="","",IF(COUNTIFS(Session!$L$3:$L$202,Q173)=0,"⚠ no Session row","ok"))</f>
        <v/>
      </c>
      <c r="Q173" s="14">
        <f>IF($A173="","",$A173*10+IF($B173="",1,$B173))</f>
        <v/>
      </c>
    </row>
    <row r="174">
      <c r="A174" s="11" t="n"/>
      <c r="G174" s="12" t="n"/>
      <c r="K174" s="12" t="n"/>
      <c r="L174" s="13">
        <f>IF($A174="","",IF(COUNT(D174:F174)&lt;3,"",IF(MIN(D174:F174)&lt;=low_max,"LOW",IF(MIN(D174:F174)&lt;=watch_max,"WATCH","GOOD"))))</f>
        <v/>
      </c>
      <c r="M174" s="13">
        <f>IF($A174="","",IF(COUNT(H174:J174)&lt;3,"",IF(MIN((11-H174),I174,J174)&lt;=low_max,"LOW",IF(MIN((11-H174),I174,J174)&lt;=watch_max,"WATCH","GOOD"))))</f>
        <v/>
      </c>
      <c r="N174" s="13">
        <f>IF(OR(L174="LOW",M174="LOW"),"LOW",IF(OR(L174="WATCH",M174="WATCH"),"WATCH",IF(OR(L174="GOOD",M174="GOOD"),"GOOD","")))</f>
        <v/>
      </c>
      <c r="O174" s="13">
        <f>IF(COUNT(D174:F174,H174:J174)&lt;6,"",ROUND(AVERAGE(D174,E174,F174,(11-H174),I174,J174),1))</f>
        <v/>
      </c>
      <c r="P174" s="13">
        <f>IF($A174="","",IF(COUNTIFS(Session!$L$3:$L$202,Q174)=0,"⚠ no Session row","ok"))</f>
        <v/>
      </c>
      <c r="Q174" s="14">
        <f>IF($A174="","",$A174*10+IF($B174="",1,$B174))</f>
        <v/>
      </c>
    </row>
    <row r="175">
      <c r="A175" s="11" t="n"/>
      <c r="G175" s="12" t="n"/>
      <c r="K175" s="12" t="n"/>
      <c r="L175" s="13">
        <f>IF($A175="","",IF(COUNT(D175:F175)&lt;3,"",IF(MIN(D175:F175)&lt;=low_max,"LOW",IF(MIN(D175:F175)&lt;=watch_max,"WATCH","GOOD"))))</f>
        <v/>
      </c>
      <c r="M175" s="13">
        <f>IF($A175="","",IF(COUNT(H175:J175)&lt;3,"",IF(MIN((11-H175),I175,J175)&lt;=low_max,"LOW",IF(MIN((11-H175),I175,J175)&lt;=watch_max,"WATCH","GOOD"))))</f>
        <v/>
      </c>
      <c r="N175" s="13">
        <f>IF(OR(L175="LOW",M175="LOW"),"LOW",IF(OR(L175="WATCH",M175="WATCH"),"WATCH",IF(OR(L175="GOOD",M175="GOOD"),"GOOD","")))</f>
        <v/>
      </c>
      <c r="O175" s="13">
        <f>IF(COUNT(D175:F175,H175:J175)&lt;6,"",ROUND(AVERAGE(D175,E175,F175,(11-H175),I175,J175),1))</f>
        <v/>
      </c>
      <c r="P175" s="13">
        <f>IF($A175="","",IF(COUNTIFS(Session!$L$3:$L$202,Q175)=0,"⚠ no Session row","ok"))</f>
        <v/>
      </c>
      <c r="Q175" s="14">
        <f>IF($A175="","",$A175*10+IF($B175="",1,$B175))</f>
        <v/>
      </c>
    </row>
    <row r="176">
      <c r="A176" s="11" t="n"/>
      <c r="G176" s="12" t="n"/>
      <c r="K176" s="12" t="n"/>
      <c r="L176" s="13">
        <f>IF($A176="","",IF(COUNT(D176:F176)&lt;3,"",IF(MIN(D176:F176)&lt;=low_max,"LOW",IF(MIN(D176:F176)&lt;=watch_max,"WATCH","GOOD"))))</f>
        <v/>
      </c>
      <c r="M176" s="13">
        <f>IF($A176="","",IF(COUNT(H176:J176)&lt;3,"",IF(MIN((11-H176),I176,J176)&lt;=low_max,"LOW",IF(MIN((11-H176),I176,J176)&lt;=watch_max,"WATCH","GOOD"))))</f>
        <v/>
      </c>
      <c r="N176" s="13">
        <f>IF(OR(L176="LOW",M176="LOW"),"LOW",IF(OR(L176="WATCH",M176="WATCH"),"WATCH",IF(OR(L176="GOOD",M176="GOOD"),"GOOD","")))</f>
        <v/>
      </c>
      <c r="O176" s="13">
        <f>IF(COUNT(D176:F176,H176:J176)&lt;6,"",ROUND(AVERAGE(D176,E176,F176,(11-H176),I176,J176),1))</f>
        <v/>
      </c>
      <c r="P176" s="13">
        <f>IF($A176="","",IF(COUNTIFS(Session!$L$3:$L$202,Q176)=0,"⚠ no Session row","ok"))</f>
        <v/>
      </c>
      <c r="Q176" s="14">
        <f>IF($A176="","",$A176*10+IF($B176="",1,$B176))</f>
        <v/>
      </c>
    </row>
    <row r="177">
      <c r="A177" s="11" t="n"/>
      <c r="G177" s="12" t="n"/>
      <c r="K177" s="12" t="n"/>
      <c r="L177" s="13">
        <f>IF($A177="","",IF(COUNT(D177:F177)&lt;3,"",IF(MIN(D177:F177)&lt;=low_max,"LOW",IF(MIN(D177:F177)&lt;=watch_max,"WATCH","GOOD"))))</f>
        <v/>
      </c>
      <c r="M177" s="13">
        <f>IF($A177="","",IF(COUNT(H177:J177)&lt;3,"",IF(MIN((11-H177),I177,J177)&lt;=low_max,"LOW",IF(MIN((11-H177),I177,J177)&lt;=watch_max,"WATCH","GOOD"))))</f>
        <v/>
      </c>
      <c r="N177" s="13">
        <f>IF(OR(L177="LOW",M177="LOW"),"LOW",IF(OR(L177="WATCH",M177="WATCH"),"WATCH",IF(OR(L177="GOOD",M177="GOOD"),"GOOD","")))</f>
        <v/>
      </c>
      <c r="O177" s="13">
        <f>IF(COUNT(D177:F177,H177:J177)&lt;6,"",ROUND(AVERAGE(D177,E177,F177,(11-H177),I177,J177),1))</f>
        <v/>
      </c>
      <c r="P177" s="13">
        <f>IF($A177="","",IF(COUNTIFS(Session!$L$3:$L$202,Q177)=0,"⚠ no Session row","ok"))</f>
        <v/>
      </c>
      <c r="Q177" s="14">
        <f>IF($A177="","",$A177*10+IF($B177="",1,$B177))</f>
        <v/>
      </c>
    </row>
    <row r="178">
      <c r="A178" s="11" t="n"/>
      <c r="G178" s="12" t="n"/>
      <c r="K178" s="12" t="n"/>
      <c r="L178" s="13">
        <f>IF($A178="","",IF(COUNT(D178:F178)&lt;3,"",IF(MIN(D178:F178)&lt;=low_max,"LOW",IF(MIN(D178:F178)&lt;=watch_max,"WATCH","GOOD"))))</f>
        <v/>
      </c>
      <c r="M178" s="13">
        <f>IF($A178="","",IF(COUNT(H178:J178)&lt;3,"",IF(MIN((11-H178),I178,J178)&lt;=low_max,"LOW",IF(MIN((11-H178),I178,J178)&lt;=watch_max,"WATCH","GOOD"))))</f>
        <v/>
      </c>
      <c r="N178" s="13">
        <f>IF(OR(L178="LOW",M178="LOW"),"LOW",IF(OR(L178="WATCH",M178="WATCH"),"WATCH",IF(OR(L178="GOOD",M178="GOOD"),"GOOD","")))</f>
        <v/>
      </c>
      <c r="O178" s="13">
        <f>IF(COUNT(D178:F178,H178:J178)&lt;6,"",ROUND(AVERAGE(D178,E178,F178,(11-H178),I178,J178),1))</f>
        <v/>
      </c>
      <c r="P178" s="13">
        <f>IF($A178="","",IF(COUNTIFS(Session!$L$3:$L$202,Q178)=0,"⚠ no Session row","ok"))</f>
        <v/>
      </c>
      <c r="Q178" s="14">
        <f>IF($A178="","",$A178*10+IF($B178="",1,$B178))</f>
        <v/>
      </c>
    </row>
    <row r="179">
      <c r="A179" s="11" t="n"/>
      <c r="G179" s="12" t="n"/>
      <c r="K179" s="12" t="n"/>
      <c r="L179" s="13">
        <f>IF($A179="","",IF(COUNT(D179:F179)&lt;3,"",IF(MIN(D179:F179)&lt;=low_max,"LOW",IF(MIN(D179:F179)&lt;=watch_max,"WATCH","GOOD"))))</f>
        <v/>
      </c>
      <c r="M179" s="13">
        <f>IF($A179="","",IF(COUNT(H179:J179)&lt;3,"",IF(MIN((11-H179),I179,J179)&lt;=low_max,"LOW",IF(MIN((11-H179),I179,J179)&lt;=watch_max,"WATCH","GOOD"))))</f>
        <v/>
      </c>
      <c r="N179" s="13">
        <f>IF(OR(L179="LOW",M179="LOW"),"LOW",IF(OR(L179="WATCH",M179="WATCH"),"WATCH",IF(OR(L179="GOOD",M179="GOOD"),"GOOD","")))</f>
        <v/>
      </c>
      <c r="O179" s="13">
        <f>IF(COUNT(D179:F179,H179:J179)&lt;6,"",ROUND(AVERAGE(D179,E179,F179,(11-H179),I179,J179),1))</f>
        <v/>
      </c>
      <c r="P179" s="13">
        <f>IF($A179="","",IF(COUNTIFS(Session!$L$3:$L$202,Q179)=0,"⚠ no Session row","ok"))</f>
        <v/>
      </c>
      <c r="Q179" s="14">
        <f>IF($A179="","",$A179*10+IF($B179="",1,$B179))</f>
        <v/>
      </c>
    </row>
    <row r="180">
      <c r="A180" s="11" t="n"/>
      <c r="G180" s="12" t="n"/>
      <c r="K180" s="12" t="n"/>
      <c r="L180" s="13">
        <f>IF($A180="","",IF(COUNT(D180:F180)&lt;3,"",IF(MIN(D180:F180)&lt;=low_max,"LOW",IF(MIN(D180:F180)&lt;=watch_max,"WATCH","GOOD"))))</f>
        <v/>
      </c>
      <c r="M180" s="13">
        <f>IF($A180="","",IF(COUNT(H180:J180)&lt;3,"",IF(MIN((11-H180),I180,J180)&lt;=low_max,"LOW",IF(MIN((11-H180),I180,J180)&lt;=watch_max,"WATCH","GOOD"))))</f>
        <v/>
      </c>
      <c r="N180" s="13">
        <f>IF(OR(L180="LOW",M180="LOW"),"LOW",IF(OR(L180="WATCH",M180="WATCH"),"WATCH",IF(OR(L180="GOOD",M180="GOOD"),"GOOD","")))</f>
        <v/>
      </c>
      <c r="O180" s="13">
        <f>IF(COUNT(D180:F180,H180:J180)&lt;6,"",ROUND(AVERAGE(D180,E180,F180,(11-H180),I180,J180),1))</f>
        <v/>
      </c>
      <c r="P180" s="13">
        <f>IF($A180="","",IF(COUNTIFS(Session!$L$3:$L$202,Q180)=0,"⚠ no Session row","ok"))</f>
        <v/>
      </c>
      <c r="Q180" s="14">
        <f>IF($A180="","",$A180*10+IF($B180="",1,$B180))</f>
        <v/>
      </c>
    </row>
    <row r="181">
      <c r="A181" s="11" t="n"/>
      <c r="G181" s="12" t="n"/>
      <c r="K181" s="12" t="n"/>
      <c r="L181" s="13">
        <f>IF($A181="","",IF(COUNT(D181:F181)&lt;3,"",IF(MIN(D181:F181)&lt;=low_max,"LOW",IF(MIN(D181:F181)&lt;=watch_max,"WATCH","GOOD"))))</f>
        <v/>
      </c>
      <c r="M181" s="13">
        <f>IF($A181="","",IF(COUNT(H181:J181)&lt;3,"",IF(MIN((11-H181),I181,J181)&lt;=low_max,"LOW",IF(MIN((11-H181),I181,J181)&lt;=watch_max,"WATCH","GOOD"))))</f>
        <v/>
      </c>
      <c r="N181" s="13">
        <f>IF(OR(L181="LOW",M181="LOW"),"LOW",IF(OR(L181="WATCH",M181="WATCH"),"WATCH",IF(OR(L181="GOOD",M181="GOOD"),"GOOD","")))</f>
        <v/>
      </c>
      <c r="O181" s="13">
        <f>IF(COUNT(D181:F181,H181:J181)&lt;6,"",ROUND(AVERAGE(D181,E181,F181,(11-H181),I181,J181),1))</f>
        <v/>
      </c>
      <c r="P181" s="13">
        <f>IF($A181="","",IF(COUNTIFS(Session!$L$3:$L$202,Q181)=0,"⚠ no Session row","ok"))</f>
        <v/>
      </c>
      <c r="Q181" s="14">
        <f>IF($A181="","",$A181*10+IF($B181="",1,$B181))</f>
        <v/>
      </c>
    </row>
    <row r="182">
      <c r="A182" s="11" t="n"/>
      <c r="G182" s="12" t="n"/>
      <c r="K182" s="12" t="n"/>
      <c r="L182" s="13">
        <f>IF($A182="","",IF(COUNT(D182:F182)&lt;3,"",IF(MIN(D182:F182)&lt;=low_max,"LOW",IF(MIN(D182:F182)&lt;=watch_max,"WATCH","GOOD"))))</f>
        <v/>
      </c>
      <c r="M182" s="13">
        <f>IF($A182="","",IF(COUNT(H182:J182)&lt;3,"",IF(MIN((11-H182),I182,J182)&lt;=low_max,"LOW",IF(MIN((11-H182),I182,J182)&lt;=watch_max,"WATCH","GOOD"))))</f>
        <v/>
      </c>
      <c r="N182" s="13">
        <f>IF(OR(L182="LOW",M182="LOW"),"LOW",IF(OR(L182="WATCH",M182="WATCH"),"WATCH",IF(OR(L182="GOOD",M182="GOOD"),"GOOD","")))</f>
        <v/>
      </c>
      <c r="O182" s="13">
        <f>IF(COUNT(D182:F182,H182:J182)&lt;6,"",ROUND(AVERAGE(D182,E182,F182,(11-H182),I182,J182),1))</f>
        <v/>
      </c>
      <c r="P182" s="13">
        <f>IF($A182="","",IF(COUNTIFS(Session!$L$3:$L$202,Q182)=0,"⚠ no Session row","ok"))</f>
        <v/>
      </c>
      <c r="Q182" s="14">
        <f>IF($A182="","",$A182*10+IF($B182="",1,$B182))</f>
        <v/>
      </c>
    </row>
    <row r="183">
      <c r="A183" s="11" t="n"/>
      <c r="G183" s="12" t="n"/>
      <c r="K183" s="12" t="n"/>
      <c r="L183" s="13">
        <f>IF($A183="","",IF(COUNT(D183:F183)&lt;3,"",IF(MIN(D183:F183)&lt;=low_max,"LOW",IF(MIN(D183:F183)&lt;=watch_max,"WATCH","GOOD"))))</f>
        <v/>
      </c>
      <c r="M183" s="13">
        <f>IF($A183="","",IF(COUNT(H183:J183)&lt;3,"",IF(MIN((11-H183),I183,J183)&lt;=low_max,"LOW",IF(MIN((11-H183),I183,J183)&lt;=watch_max,"WATCH","GOOD"))))</f>
        <v/>
      </c>
      <c r="N183" s="13">
        <f>IF(OR(L183="LOW",M183="LOW"),"LOW",IF(OR(L183="WATCH",M183="WATCH"),"WATCH",IF(OR(L183="GOOD",M183="GOOD"),"GOOD","")))</f>
        <v/>
      </c>
      <c r="O183" s="13">
        <f>IF(COUNT(D183:F183,H183:J183)&lt;6,"",ROUND(AVERAGE(D183,E183,F183,(11-H183),I183,J183),1))</f>
        <v/>
      </c>
      <c r="P183" s="13">
        <f>IF($A183="","",IF(COUNTIFS(Session!$L$3:$L$202,Q183)=0,"⚠ no Session row","ok"))</f>
        <v/>
      </c>
      <c r="Q183" s="14">
        <f>IF($A183="","",$A183*10+IF($B183="",1,$B183))</f>
        <v/>
      </c>
    </row>
    <row r="184">
      <c r="A184" s="11" t="n"/>
      <c r="G184" s="12" t="n"/>
      <c r="K184" s="12" t="n"/>
      <c r="L184" s="13">
        <f>IF($A184="","",IF(COUNT(D184:F184)&lt;3,"",IF(MIN(D184:F184)&lt;=low_max,"LOW",IF(MIN(D184:F184)&lt;=watch_max,"WATCH","GOOD"))))</f>
        <v/>
      </c>
      <c r="M184" s="13">
        <f>IF($A184="","",IF(COUNT(H184:J184)&lt;3,"",IF(MIN((11-H184),I184,J184)&lt;=low_max,"LOW",IF(MIN((11-H184),I184,J184)&lt;=watch_max,"WATCH","GOOD"))))</f>
        <v/>
      </c>
      <c r="N184" s="13">
        <f>IF(OR(L184="LOW",M184="LOW"),"LOW",IF(OR(L184="WATCH",M184="WATCH"),"WATCH",IF(OR(L184="GOOD",M184="GOOD"),"GOOD","")))</f>
        <v/>
      </c>
      <c r="O184" s="13">
        <f>IF(COUNT(D184:F184,H184:J184)&lt;6,"",ROUND(AVERAGE(D184,E184,F184,(11-H184),I184,J184),1))</f>
        <v/>
      </c>
      <c r="P184" s="13">
        <f>IF($A184="","",IF(COUNTIFS(Session!$L$3:$L$202,Q184)=0,"⚠ no Session row","ok"))</f>
        <v/>
      </c>
      <c r="Q184" s="14">
        <f>IF($A184="","",$A184*10+IF($B184="",1,$B184))</f>
        <v/>
      </c>
    </row>
    <row r="185">
      <c r="A185" s="11" t="n"/>
      <c r="G185" s="12" t="n"/>
      <c r="K185" s="12" t="n"/>
      <c r="L185" s="13">
        <f>IF($A185="","",IF(COUNT(D185:F185)&lt;3,"",IF(MIN(D185:F185)&lt;=low_max,"LOW",IF(MIN(D185:F185)&lt;=watch_max,"WATCH","GOOD"))))</f>
        <v/>
      </c>
      <c r="M185" s="13">
        <f>IF($A185="","",IF(COUNT(H185:J185)&lt;3,"",IF(MIN((11-H185),I185,J185)&lt;=low_max,"LOW",IF(MIN((11-H185),I185,J185)&lt;=watch_max,"WATCH","GOOD"))))</f>
        <v/>
      </c>
      <c r="N185" s="13">
        <f>IF(OR(L185="LOW",M185="LOW"),"LOW",IF(OR(L185="WATCH",M185="WATCH"),"WATCH",IF(OR(L185="GOOD",M185="GOOD"),"GOOD","")))</f>
        <v/>
      </c>
      <c r="O185" s="13">
        <f>IF(COUNT(D185:F185,H185:J185)&lt;6,"",ROUND(AVERAGE(D185,E185,F185,(11-H185),I185,J185),1))</f>
        <v/>
      </c>
      <c r="P185" s="13">
        <f>IF($A185="","",IF(COUNTIFS(Session!$L$3:$L$202,Q185)=0,"⚠ no Session row","ok"))</f>
        <v/>
      </c>
      <c r="Q185" s="14">
        <f>IF($A185="","",$A185*10+IF($B185="",1,$B185))</f>
        <v/>
      </c>
    </row>
    <row r="186">
      <c r="A186" s="11" t="n"/>
      <c r="G186" s="12" t="n"/>
      <c r="K186" s="12" t="n"/>
      <c r="L186" s="13">
        <f>IF($A186="","",IF(COUNT(D186:F186)&lt;3,"",IF(MIN(D186:F186)&lt;=low_max,"LOW",IF(MIN(D186:F186)&lt;=watch_max,"WATCH","GOOD"))))</f>
        <v/>
      </c>
      <c r="M186" s="13">
        <f>IF($A186="","",IF(COUNT(H186:J186)&lt;3,"",IF(MIN((11-H186),I186,J186)&lt;=low_max,"LOW",IF(MIN((11-H186),I186,J186)&lt;=watch_max,"WATCH","GOOD"))))</f>
        <v/>
      </c>
      <c r="N186" s="13">
        <f>IF(OR(L186="LOW",M186="LOW"),"LOW",IF(OR(L186="WATCH",M186="WATCH"),"WATCH",IF(OR(L186="GOOD",M186="GOOD"),"GOOD","")))</f>
        <v/>
      </c>
      <c r="O186" s="13">
        <f>IF(COUNT(D186:F186,H186:J186)&lt;6,"",ROUND(AVERAGE(D186,E186,F186,(11-H186),I186,J186),1))</f>
        <v/>
      </c>
      <c r="P186" s="13">
        <f>IF($A186="","",IF(COUNTIFS(Session!$L$3:$L$202,Q186)=0,"⚠ no Session row","ok"))</f>
        <v/>
      </c>
      <c r="Q186" s="14">
        <f>IF($A186="","",$A186*10+IF($B186="",1,$B186))</f>
        <v/>
      </c>
    </row>
    <row r="187">
      <c r="A187" s="11" t="n"/>
      <c r="G187" s="12" t="n"/>
      <c r="K187" s="12" t="n"/>
      <c r="L187" s="13">
        <f>IF($A187="","",IF(COUNT(D187:F187)&lt;3,"",IF(MIN(D187:F187)&lt;=low_max,"LOW",IF(MIN(D187:F187)&lt;=watch_max,"WATCH","GOOD"))))</f>
        <v/>
      </c>
      <c r="M187" s="13">
        <f>IF($A187="","",IF(COUNT(H187:J187)&lt;3,"",IF(MIN((11-H187),I187,J187)&lt;=low_max,"LOW",IF(MIN((11-H187),I187,J187)&lt;=watch_max,"WATCH","GOOD"))))</f>
        <v/>
      </c>
      <c r="N187" s="13">
        <f>IF(OR(L187="LOW",M187="LOW"),"LOW",IF(OR(L187="WATCH",M187="WATCH"),"WATCH",IF(OR(L187="GOOD",M187="GOOD"),"GOOD","")))</f>
        <v/>
      </c>
      <c r="O187" s="13">
        <f>IF(COUNT(D187:F187,H187:J187)&lt;6,"",ROUND(AVERAGE(D187,E187,F187,(11-H187),I187,J187),1))</f>
        <v/>
      </c>
      <c r="P187" s="13">
        <f>IF($A187="","",IF(COUNTIFS(Session!$L$3:$L$202,Q187)=0,"⚠ no Session row","ok"))</f>
        <v/>
      </c>
      <c r="Q187" s="14">
        <f>IF($A187="","",$A187*10+IF($B187="",1,$B187))</f>
        <v/>
      </c>
    </row>
    <row r="188">
      <c r="A188" s="11" t="n"/>
      <c r="G188" s="12" t="n"/>
      <c r="K188" s="12" t="n"/>
      <c r="L188" s="13">
        <f>IF($A188="","",IF(COUNT(D188:F188)&lt;3,"",IF(MIN(D188:F188)&lt;=low_max,"LOW",IF(MIN(D188:F188)&lt;=watch_max,"WATCH","GOOD"))))</f>
        <v/>
      </c>
      <c r="M188" s="13">
        <f>IF($A188="","",IF(COUNT(H188:J188)&lt;3,"",IF(MIN((11-H188),I188,J188)&lt;=low_max,"LOW",IF(MIN((11-H188),I188,J188)&lt;=watch_max,"WATCH","GOOD"))))</f>
        <v/>
      </c>
      <c r="N188" s="13">
        <f>IF(OR(L188="LOW",M188="LOW"),"LOW",IF(OR(L188="WATCH",M188="WATCH"),"WATCH",IF(OR(L188="GOOD",M188="GOOD"),"GOOD","")))</f>
        <v/>
      </c>
      <c r="O188" s="13">
        <f>IF(COUNT(D188:F188,H188:J188)&lt;6,"",ROUND(AVERAGE(D188,E188,F188,(11-H188),I188,J188),1))</f>
        <v/>
      </c>
      <c r="P188" s="13">
        <f>IF($A188="","",IF(COUNTIFS(Session!$L$3:$L$202,Q188)=0,"⚠ no Session row","ok"))</f>
        <v/>
      </c>
      <c r="Q188" s="14">
        <f>IF($A188="","",$A188*10+IF($B188="",1,$B188))</f>
        <v/>
      </c>
    </row>
    <row r="189">
      <c r="A189" s="11" t="n"/>
      <c r="G189" s="12" t="n"/>
      <c r="K189" s="12" t="n"/>
      <c r="L189" s="13">
        <f>IF($A189="","",IF(COUNT(D189:F189)&lt;3,"",IF(MIN(D189:F189)&lt;=low_max,"LOW",IF(MIN(D189:F189)&lt;=watch_max,"WATCH","GOOD"))))</f>
        <v/>
      </c>
      <c r="M189" s="13">
        <f>IF($A189="","",IF(COUNT(H189:J189)&lt;3,"",IF(MIN((11-H189),I189,J189)&lt;=low_max,"LOW",IF(MIN((11-H189),I189,J189)&lt;=watch_max,"WATCH","GOOD"))))</f>
        <v/>
      </c>
      <c r="N189" s="13">
        <f>IF(OR(L189="LOW",M189="LOW"),"LOW",IF(OR(L189="WATCH",M189="WATCH"),"WATCH",IF(OR(L189="GOOD",M189="GOOD"),"GOOD","")))</f>
        <v/>
      </c>
      <c r="O189" s="13">
        <f>IF(COUNT(D189:F189,H189:J189)&lt;6,"",ROUND(AVERAGE(D189,E189,F189,(11-H189),I189,J189),1))</f>
        <v/>
      </c>
      <c r="P189" s="13">
        <f>IF($A189="","",IF(COUNTIFS(Session!$L$3:$L$202,Q189)=0,"⚠ no Session row","ok"))</f>
        <v/>
      </c>
      <c r="Q189" s="14">
        <f>IF($A189="","",$A189*10+IF($B189="",1,$B189))</f>
        <v/>
      </c>
    </row>
    <row r="190">
      <c r="A190" s="11" t="n"/>
      <c r="G190" s="12" t="n"/>
      <c r="K190" s="12" t="n"/>
      <c r="L190" s="13">
        <f>IF($A190="","",IF(COUNT(D190:F190)&lt;3,"",IF(MIN(D190:F190)&lt;=low_max,"LOW",IF(MIN(D190:F190)&lt;=watch_max,"WATCH","GOOD"))))</f>
        <v/>
      </c>
      <c r="M190" s="13">
        <f>IF($A190="","",IF(COUNT(H190:J190)&lt;3,"",IF(MIN((11-H190),I190,J190)&lt;=low_max,"LOW",IF(MIN((11-H190),I190,J190)&lt;=watch_max,"WATCH","GOOD"))))</f>
        <v/>
      </c>
      <c r="N190" s="13">
        <f>IF(OR(L190="LOW",M190="LOW"),"LOW",IF(OR(L190="WATCH",M190="WATCH"),"WATCH",IF(OR(L190="GOOD",M190="GOOD"),"GOOD","")))</f>
        <v/>
      </c>
      <c r="O190" s="13">
        <f>IF(COUNT(D190:F190,H190:J190)&lt;6,"",ROUND(AVERAGE(D190,E190,F190,(11-H190),I190,J190),1))</f>
        <v/>
      </c>
      <c r="P190" s="13">
        <f>IF($A190="","",IF(COUNTIFS(Session!$L$3:$L$202,Q190)=0,"⚠ no Session row","ok"))</f>
        <v/>
      </c>
      <c r="Q190" s="14">
        <f>IF($A190="","",$A190*10+IF($B190="",1,$B190))</f>
        <v/>
      </c>
    </row>
    <row r="191">
      <c r="A191" s="11" t="n"/>
      <c r="G191" s="12" t="n"/>
      <c r="K191" s="12" t="n"/>
      <c r="L191" s="13">
        <f>IF($A191="","",IF(COUNT(D191:F191)&lt;3,"",IF(MIN(D191:F191)&lt;=low_max,"LOW",IF(MIN(D191:F191)&lt;=watch_max,"WATCH","GOOD"))))</f>
        <v/>
      </c>
      <c r="M191" s="13">
        <f>IF($A191="","",IF(COUNT(H191:J191)&lt;3,"",IF(MIN((11-H191),I191,J191)&lt;=low_max,"LOW",IF(MIN((11-H191),I191,J191)&lt;=watch_max,"WATCH","GOOD"))))</f>
        <v/>
      </c>
      <c r="N191" s="13">
        <f>IF(OR(L191="LOW",M191="LOW"),"LOW",IF(OR(L191="WATCH",M191="WATCH"),"WATCH",IF(OR(L191="GOOD",M191="GOOD"),"GOOD","")))</f>
        <v/>
      </c>
      <c r="O191" s="13">
        <f>IF(COUNT(D191:F191,H191:J191)&lt;6,"",ROUND(AVERAGE(D191,E191,F191,(11-H191),I191,J191),1))</f>
        <v/>
      </c>
      <c r="P191" s="13">
        <f>IF($A191="","",IF(COUNTIFS(Session!$L$3:$L$202,Q191)=0,"⚠ no Session row","ok"))</f>
        <v/>
      </c>
      <c r="Q191" s="14">
        <f>IF($A191="","",$A191*10+IF($B191="",1,$B191))</f>
        <v/>
      </c>
    </row>
    <row r="192">
      <c r="A192" s="11" t="n"/>
      <c r="G192" s="12" t="n"/>
      <c r="K192" s="12" t="n"/>
      <c r="L192" s="13">
        <f>IF($A192="","",IF(COUNT(D192:F192)&lt;3,"",IF(MIN(D192:F192)&lt;=low_max,"LOW",IF(MIN(D192:F192)&lt;=watch_max,"WATCH","GOOD"))))</f>
        <v/>
      </c>
      <c r="M192" s="13">
        <f>IF($A192="","",IF(COUNT(H192:J192)&lt;3,"",IF(MIN((11-H192),I192,J192)&lt;=low_max,"LOW",IF(MIN((11-H192),I192,J192)&lt;=watch_max,"WATCH","GOOD"))))</f>
        <v/>
      </c>
      <c r="N192" s="13">
        <f>IF(OR(L192="LOW",M192="LOW"),"LOW",IF(OR(L192="WATCH",M192="WATCH"),"WATCH",IF(OR(L192="GOOD",M192="GOOD"),"GOOD","")))</f>
        <v/>
      </c>
      <c r="O192" s="13">
        <f>IF(COUNT(D192:F192,H192:J192)&lt;6,"",ROUND(AVERAGE(D192,E192,F192,(11-H192),I192,J192),1))</f>
        <v/>
      </c>
      <c r="P192" s="13">
        <f>IF($A192="","",IF(COUNTIFS(Session!$L$3:$L$202,Q192)=0,"⚠ no Session row","ok"))</f>
        <v/>
      </c>
      <c r="Q192" s="14">
        <f>IF($A192="","",$A192*10+IF($B192="",1,$B192))</f>
        <v/>
      </c>
    </row>
    <row r="193">
      <c r="A193" s="11" t="n"/>
      <c r="G193" s="12" t="n"/>
      <c r="K193" s="12" t="n"/>
      <c r="L193" s="13">
        <f>IF($A193="","",IF(COUNT(D193:F193)&lt;3,"",IF(MIN(D193:F193)&lt;=low_max,"LOW",IF(MIN(D193:F193)&lt;=watch_max,"WATCH","GOOD"))))</f>
        <v/>
      </c>
      <c r="M193" s="13">
        <f>IF($A193="","",IF(COUNT(H193:J193)&lt;3,"",IF(MIN((11-H193),I193,J193)&lt;=low_max,"LOW",IF(MIN((11-H193),I193,J193)&lt;=watch_max,"WATCH","GOOD"))))</f>
        <v/>
      </c>
      <c r="N193" s="13">
        <f>IF(OR(L193="LOW",M193="LOW"),"LOW",IF(OR(L193="WATCH",M193="WATCH"),"WATCH",IF(OR(L193="GOOD",M193="GOOD"),"GOOD","")))</f>
        <v/>
      </c>
      <c r="O193" s="13">
        <f>IF(COUNT(D193:F193,H193:J193)&lt;6,"",ROUND(AVERAGE(D193,E193,F193,(11-H193),I193,J193),1))</f>
        <v/>
      </c>
      <c r="P193" s="13">
        <f>IF($A193="","",IF(COUNTIFS(Session!$L$3:$L$202,Q193)=0,"⚠ no Session row","ok"))</f>
        <v/>
      </c>
      <c r="Q193" s="14">
        <f>IF($A193="","",$A193*10+IF($B193="",1,$B193))</f>
        <v/>
      </c>
    </row>
    <row r="194">
      <c r="A194" s="11" t="n"/>
      <c r="G194" s="12" t="n"/>
      <c r="K194" s="12" t="n"/>
      <c r="L194" s="13">
        <f>IF($A194="","",IF(COUNT(D194:F194)&lt;3,"",IF(MIN(D194:F194)&lt;=low_max,"LOW",IF(MIN(D194:F194)&lt;=watch_max,"WATCH","GOOD"))))</f>
        <v/>
      </c>
      <c r="M194" s="13">
        <f>IF($A194="","",IF(COUNT(H194:J194)&lt;3,"",IF(MIN((11-H194),I194,J194)&lt;=low_max,"LOW",IF(MIN((11-H194),I194,J194)&lt;=watch_max,"WATCH","GOOD"))))</f>
        <v/>
      </c>
      <c r="N194" s="13">
        <f>IF(OR(L194="LOW",M194="LOW"),"LOW",IF(OR(L194="WATCH",M194="WATCH"),"WATCH",IF(OR(L194="GOOD",M194="GOOD"),"GOOD","")))</f>
        <v/>
      </c>
      <c r="O194" s="13">
        <f>IF(COUNT(D194:F194,H194:J194)&lt;6,"",ROUND(AVERAGE(D194,E194,F194,(11-H194),I194,J194),1))</f>
        <v/>
      </c>
      <c r="P194" s="13">
        <f>IF($A194="","",IF(COUNTIFS(Session!$L$3:$L$202,Q194)=0,"⚠ no Session row","ok"))</f>
        <v/>
      </c>
      <c r="Q194" s="14">
        <f>IF($A194="","",$A194*10+IF($B194="",1,$B194))</f>
        <v/>
      </c>
    </row>
    <row r="195">
      <c r="A195" s="11" t="n"/>
      <c r="G195" s="12" t="n"/>
      <c r="K195" s="12" t="n"/>
      <c r="L195" s="13">
        <f>IF($A195="","",IF(COUNT(D195:F195)&lt;3,"",IF(MIN(D195:F195)&lt;=low_max,"LOW",IF(MIN(D195:F195)&lt;=watch_max,"WATCH","GOOD"))))</f>
        <v/>
      </c>
      <c r="M195" s="13">
        <f>IF($A195="","",IF(COUNT(H195:J195)&lt;3,"",IF(MIN((11-H195),I195,J195)&lt;=low_max,"LOW",IF(MIN((11-H195),I195,J195)&lt;=watch_max,"WATCH","GOOD"))))</f>
        <v/>
      </c>
      <c r="N195" s="13">
        <f>IF(OR(L195="LOW",M195="LOW"),"LOW",IF(OR(L195="WATCH",M195="WATCH"),"WATCH",IF(OR(L195="GOOD",M195="GOOD"),"GOOD","")))</f>
        <v/>
      </c>
      <c r="O195" s="13">
        <f>IF(COUNT(D195:F195,H195:J195)&lt;6,"",ROUND(AVERAGE(D195,E195,F195,(11-H195),I195,J195),1))</f>
        <v/>
      </c>
      <c r="P195" s="13">
        <f>IF($A195="","",IF(COUNTIFS(Session!$L$3:$L$202,Q195)=0,"⚠ no Session row","ok"))</f>
        <v/>
      </c>
      <c r="Q195" s="14">
        <f>IF($A195="","",$A195*10+IF($B195="",1,$B195))</f>
        <v/>
      </c>
    </row>
    <row r="196">
      <c r="A196" s="11" t="n"/>
      <c r="G196" s="12" t="n"/>
      <c r="K196" s="12" t="n"/>
      <c r="L196" s="13">
        <f>IF($A196="","",IF(COUNT(D196:F196)&lt;3,"",IF(MIN(D196:F196)&lt;=low_max,"LOW",IF(MIN(D196:F196)&lt;=watch_max,"WATCH","GOOD"))))</f>
        <v/>
      </c>
      <c r="M196" s="13">
        <f>IF($A196="","",IF(COUNT(H196:J196)&lt;3,"",IF(MIN((11-H196),I196,J196)&lt;=low_max,"LOW",IF(MIN((11-H196),I196,J196)&lt;=watch_max,"WATCH","GOOD"))))</f>
        <v/>
      </c>
      <c r="N196" s="13">
        <f>IF(OR(L196="LOW",M196="LOW"),"LOW",IF(OR(L196="WATCH",M196="WATCH"),"WATCH",IF(OR(L196="GOOD",M196="GOOD"),"GOOD","")))</f>
        <v/>
      </c>
      <c r="O196" s="13">
        <f>IF(COUNT(D196:F196,H196:J196)&lt;6,"",ROUND(AVERAGE(D196,E196,F196,(11-H196),I196,J196),1))</f>
        <v/>
      </c>
      <c r="P196" s="13">
        <f>IF($A196="","",IF(COUNTIFS(Session!$L$3:$L$202,Q196)=0,"⚠ no Session row","ok"))</f>
        <v/>
      </c>
      <c r="Q196" s="14">
        <f>IF($A196="","",$A196*10+IF($B196="",1,$B196))</f>
        <v/>
      </c>
    </row>
    <row r="197">
      <c r="A197" s="11" t="n"/>
      <c r="G197" s="12" t="n"/>
      <c r="K197" s="12" t="n"/>
      <c r="L197" s="13">
        <f>IF($A197="","",IF(COUNT(D197:F197)&lt;3,"",IF(MIN(D197:F197)&lt;=low_max,"LOW",IF(MIN(D197:F197)&lt;=watch_max,"WATCH","GOOD"))))</f>
        <v/>
      </c>
      <c r="M197" s="13">
        <f>IF($A197="","",IF(COUNT(H197:J197)&lt;3,"",IF(MIN((11-H197),I197,J197)&lt;=low_max,"LOW",IF(MIN((11-H197),I197,J197)&lt;=watch_max,"WATCH","GOOD"))))</f>
        <v/>
      </c>
      <c r="N197" s="13">
        <f>IF(OR(L197="LOW",M197="LOW"),"LOW",IF(OR(L197="WATCH",M197="WATCH"),"WATCH",IF(OR(L197="GOOD",M197="GOOD"),"GOOD","")))</f>
        <v/>
      </c>
      <c r="O197" s="13">
        <f>IF(COUNT(D197:F197,H197:J197)&lt;6,"",ROUND(AVERAGE(D197,E197,F197,(11-H197),I197,J197),1))</f>
        <v/>
      </c>
      <c r="P197" s="13">
        <f>IF($A197="","",IF(COUNTIFS(Session!$L$3:$L$202,Q197)=0,"⚠ no Session row","ok"))</f>
        <v/>
      </c>
      <c r="Q197" s="14">
        <f>IF($A197="","",$A197*10+IF($B197="",1,$B197))</f>
        <v/>
      </c>
    </row>
    <row r="198">
      <c r="A198" s="11" t="n"/>
      <c r="G198" s="12" t="n"/>
      <c r="K198" s="12" t="n"/>
      <c r="L198" s="13">
        <f>IF($A198="","",IF(COUNT(D198:F198)&lt;3,"",IF(MIN(D198:F198)&lt;=low_max,"LOW",IF(MIN(D198:F198)&lt;=watch_max,"WATCH","GOOD"))))</f>
        <v/>
      </c>
      <c r="M198" s="13">
        <f>IF($A198="","",IF(COUNT(H198:J198)&lt;3,"",IF(MIN((11-H198),I198,J198)&lt;=low_max,"LOW",IF(MIN((11-H198),I198,J198)&lt;=watch_max,"WATCH","GOOD"))))</f>
        <v/>
      </c>
      <c r="N198" s="13">
        <f>IF(OR(L198="LOW",M198="LOW"),"LOW",IF(OR(L198="WATCH",M198="WATCH"),"WATCH",IF(OR(L198="GOOD",M198="GOOD"),"GOOD","")))</f>
        <v/>
      </c>
      <c r="O198" s="13">
        <f>IF(COUNT(D198:F198,H198:J198)&lt;6,"",ROUND(AVERAGE(D198,E198,F198,(11-H198),I198,J198),1))</f>
        <v/>
      </c>
      <c r="P198" s="13">
        <f>IF($A198="","",IF(COUNTIFS(Session!$L$3:$L$202,Q198)=0,"⚠ no Session row","ok"))</f>
        <v/>
      </c>
      <c r="Q198" s="14">
        <f>IF($A198="","",$A198*10+IF($B198="",1,$B198))</f>
        <v/>
      </c>
    </row>
    <row r="199">
      <c r="A199" s="11" t="n"/>
      <c r="G199" s="12" t="n"/>
      <c r="K199" s="12" t="n"/>
      <c r="L199" s="13">
        <f>IF($A199="","",IF(COUNT(D199:F199)&lt;3,"",IF(MIN(D199:F199)&lt;=low_max,"LOW",IF(MIN(D199:F199)&lt;=watch_max,"WATCH","GOOD"))))</f>
        <v/>
      </c>
      <c r="M199" s="13">
        <f>IF($A199="","",IF(COUNT(H199:J199)&lt;3,"",IF(MIN((11-H199),I199,J199)&lt;=low_max,"LOW",IF(MIN((11-H199),I199,J199)&lt;=watch_max,"WATCH","GOOD"))))</f>
        <v/>
      </c>
      <c r="N199" s="13">
        <f>IF(OR(L199="LOW",M199="LOW"),"LOW",IF(OR(L199="WATCH",M199="WATCH"),"WATCH",IF(OR(L199="GOOD",M199="GOOD"),"GOOD","")))</f>
        <v/>
      </c>
      <c r="O199" s="13">
        <f>IF(COUNT(D199:F199,H199:J199)&lt;6,"",ROUND(AVERAGE(D199,E199,F199,(11-H199),I199,J199),1))</f>
        <v/>
      </c>
      <c r="P199" s="13">
        <f>IF($A199="","",IF(COUNTIFS(Session!$L$3:$L$202,Q199)=0,"⚠ no Session row","ok"))</f>
        <v/>
      </c>
      <c r="Q199" s="14">
        <f>IF($A199="","",$A199*10+IF($B199="",1,$B199))</f>
        <v/>
      </c>
    </row>
    <row r="200">
      <c r="A200" s="11" t="n"/>
      <c r="G200" s="12" t="n"/>
      <c r="K200" s="12" t="n"/>
      <c r="L200" s="13">
        <f>IF($A200="","",IF(COUNT(D200:F200)&lt;3,"",IF(MIN(D200:F200)&lt;=low_max,"LOW",IF(MIN(D200:F200)&lt;=watch_max,"WATCH","GOOD"))))</f>
        <v/>
      </c>
      <c r="M200" s="13">
        <f>IF($A200="","",IF(COUNT(H200:J200)&lt;3,"",IF(MIN((11-H200),I200,J200)&lt;=low_max,"LOW",IF(MIN((11-H200),I200,J200)&lt;=watch_max,"WATCH","GOOD"))))</f>
        <v/>
      </c>
      <c r="N200" s="13">
        <f>IF(OR(L200="LOW",M200="LOW"),"LOW",IF(OR(L200="WATCH",M200="WATCH"),"WATCH",IF(OR(L200="GOOD",M200="GOOD"),"GOOD","")))</f>
        <v/>
      </c>
      <c r="O200" s="13">
        <f>IF(COUNT(D200:F200,H200:J200)&lt;6,"",ROUND(AVERAGE(D200,E200,F200,(11-H200),I200,J200),1))</f>
        <v/>
      </c>
      <c r="P200" s="13">
        <f>IF($A200="","",IF(COUNTIFS(Session!$L$3:$L$202,Q200)=0,"⚠ no Session row","ok"))</f>
        <v/>
      </c>
      <c r="Q200" s="14">
        <f>IF($A200="","",$A200*10+IF($B200="",1,$B200))</f>
        <v/>
      </c>
    </row>
    <row r="201">
      <c r="A201" s="11" t="n"/>
      <c r="G201" s="12" t="n"/>
      <c r="K201" s="12" t="n"/>
      <c r="L201" s="13">
        <f>IF($A201="","",IF(COUNT(D201:F201)&lt;3,"",IF(MIN(D201:F201)&lt;=low_max,"LOW",IF(MIN(D201:F201)&lt;=watch_max,"WATCH","GOOD"))))</f>
        <v/>
      </c>
      <c r="M201" s="13">
        <f>IF($A201="","",IF(COUNT(H201:J201)&lt;3,"",IF(MIN((11-H201),I201,J201)&lt;=low_max,"LOW",IF(MIN((11-H201),I201,J201)&lt;=watch_max,"WATCH","GOOD"))))</f>
        <v/>
      </c>
      <c r="N201" s="13">
        <f>IF(OR(L201="LOW",M201="LOW"),"LOW",IF(OR(L201="WATCH",M201="WATCH"),"WATCH",IF(OR(L201="GOOD",M201="GOOD"),"GOOD","")))</f>
        <v/>
      </c>
      <c r="O201" s="13">
        <f>IF(COUNT(D201:F201,H201:J201)&lt;6,"",ROUND(AVERAGE(D201,E201,F201,(11-H201),I201,J201),1))</f>
        <v/>
      </c>
      <c r="P201" s="13">
        <f>IF($A201="","",IF(COUNTIFS(Session!$L$3:$L$202,Q201)=0,"⚠ no Session row","ok"))</f>
        <v/>
      </c>
      <c r="Q201" s="14">
        <f>IF($A201="","",$A201*10+IF($B201="",1,$B201))</f>
        <v/>
      </c>
    </row>
    <row r="202">
      <c r="A202" s="11" t="n"/>
      <c r="G202" s="12" t="n"/>
      <c r="K202" s="12" t="n"/>
      <c r="L202" s="13">
        <f>IF($A202="","",IF(COUNT(D202:F202)&lt;3,"",IF(MIN(D202:F202)&lt;=low_max,"LOW",IF(MIN(D202:F202)&lt;=watch_max,"WATCH","GOOD"))))</f>
        <v/>
      </c>
      <c r="M202" s="13">
        <f>IF($A202="","",IF(COUNT(H202:J202)&lt;3,"",IF(MIN((11-H202),I202,J202)&lt;=low_max,"LOW",IF(MIN((11-H202),I202,J202)&lt;=watch_max,"WATCH","GOOD"))))</f>
        <v/>
      </c>
      <c r="N202" s="13">
        <f>IF(OR(L202="LOW",M202="LOW"),"LOW",IF(OR(L202="WATCH",M202="WATCH"),"WATCH",IF(OR(L202="GOOD",M202="GOOD"),"GOOD","")))</f>
        <v/>
      </c>
      <c r="O202" s="13">
        <f>IF(COUNT(D202:F202,H202:J202)&lt;6,"",ROUND(AVERAGE(D202,E202,F202,(11-H202),I202,J202),1))</f>
        <v/>
      </c>
      <c r="P202" s="13">
        <f>IF($A202="","",IF(COUNTIFS(Session!$L$3:$L$202,Q202)=0,"⚠ no Session row","ok"))</f>
        <v/>
      </c>
      <c r="Q202" s="14">
        <f>IF($A202="","",$A202*10+IF($B202="",1,$B202))</f>
        <v/>
      </c>
    </row>
  </sheetData>
  <conditionalFormatting sqref="D3:D202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E3:E202">
    <cfRule type="colorScale" priority="2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F3:F202">
    <cfRule type="colorScale" priority="3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H3:H202">
    <cfRule type="colorScale" priority="4">
      <colorScale>
        <cfvo type="num" val="1"/>
        <cfvo type="num" val="5.5"/>
        <cfvo type="num" val="10"/>
        <color rgb="0063BE7B"/>
        <color rgb="00FFEB84"/>
        <color rgb="00F8696B"/>
      </colorScale>
    </cfRule>
  </conditionalFormatting>
  <conditionalFormatting sqref="I3:I202">
    <cfRule type="colorScale" priority="5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J3:J202">
    <cfRule type="colorScale" priority="6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conditionalFormatting sqref="L3:L202">
    <cfRule type="cellIs" priority="7" operator="equal" dxfId="0">
      <formula>"LOW"</formula>
    </cfRule>
    <cfRule type="cellIs" priority="8" operator="equal" dxfId="1">
      <formula>"WATCH"</formula>
    </cfRule>
    <cfRule type="cellIs" priority="9" operator="equal" dxfId="2">
      <formula>"GOOD"</formula>
    </cfRule>
  </conditionalFormatting>
  <conditionalFormatting sqref="M3:M202">
    <cfRule type="cellIs" priority="10" operator="equal" dxfId="0">
      <formula>"LOW"</formula>
    </cfRule>
    <cfRule type="cellIs" priority="11" operator="equal" dxfId="1">
      <formula>"WATCH"</formula>
    </cfRule>
    <cfRule type="cellIs" priority="12" operator="equal" dxfId="2">
      <formula>"GOOD"</formula>
    </cfRule>
  </conditionalFormatting>
  <conditionalFormatting sqref="N3:N202">
    <cfRule type="cellIs" priority="13" operator="equal" dxfId="0">
      <formula>"LOW"</formula>
    </cfRule>
    <cfRule type="cellIs" priority="14" operator="equal" dxfId="1">
      <formula>"WATCH"</formula>
    </cfRule>
    <cfRule type="cellIs" priority="15" operator="equal" dxfId="2">
      <formula>"GOOD"</formula>
    </cfRule>
  </conditionalFormatting>
  <conditionalFormatting sqref="O3:O202">
    <cfRule type="cellIs" priority="16" operator="equal" dxfId="0">
      <formula>"LOW"</formula>
    </cfRule>
    <cfRule type="cellIs" priority="17" operator="equal" dxfId="1">
      <formula>"WATCH"</formula>
    </cfRule>
    <cfRule type="cellIs" priority="18" operator="equal" dxfId="2">
      <formula>"GOOD"</formula>
    </cfRule>
  </conditionalFormatting>
  <conditionalFormatting sqref="P3:P202">
    <cfRule type="cellIs" priority="19" operator="equal" dxfId="0">
      <formula>"LOW"</formula>
    </cfRule>
    <cfRule type="cellIs" priority="20" operator="equal" dxfId="1">
      <formula>"WATCH"</formula>
    </cfRule>
    <cfRule type="cellIs" priority="21" operator="equal" dxfId="2">
      <formula>"GOOD"</formula>
    </cfRule>
  </conditionalFormatting>
  <conditionalFormatting sqref="Q3:Q202">
    <cfRule type="cellIs" priority="22" operator="equal" dxfId="0">
      <formula>"LOW"</formula>
    </cfRule>
    <cfRule type="cellIs" priority="23" operator="equal" dxfId="1">
      <formula>"WATCH"</formula>
    </cfRule>
    <cfRule type="cellIs" priority="24" operator="equal" dxfId="2">
      <formula>"GOOD"</formula>
    </cfRule>
  </conditionalFormatting>
  <dataValidations count="9">
    <dataValidation sqref="A3:A202" showDropDown="0" showInputMessage="0" showErrorMessage="1" allowBlank="0" errorTitle="climblog" error="Value outside the allowed range/choices" type="date" operator="greaterThan">
      <formula1>DATE(2020,1,1)</formula1>
    </dataValidation>
    <dataValidation sqref="B3:B202" showDropDown="0" showInputMessage="0" showErrorMessage="1" allowBlank="0" errorTitle="climblog" error="Value outside the allowed range/choices" type="whole" operator="between">
      <formula1>1</formula1>
      <formula2>9</formula2>
    </dataValidation>
    <dataValidation sqref="C3:C202" showDropDown="0" showInputMessage="0" showErrorMessage="1" allowBlank="0" errorTitle="climblog" error="Value outside the allowed range/choices" type="decimal" operator="between">
      <formula1>0</formula1>
      <formula2>14</formula2>
    </dataValidation>
    <dataValidation sqref="D3:D202" showDropDown="0" showInputMessage="0" showErrorMessage="1" allowBlank="0" errorTitle="climblog" error="Value outside the allowed range/choices" type="list">
      <formula1>"1,2,3,4,5,6,7,8,9,10"</formula1>
    </dataValidation>
    <dataValidation sqref="E3:E202" showDropDown="0" showInputMessage="0" showErrorMessage="1" allowBlank="0" errorTitle="climblog" error="Value outside the allowed range/choices" type="list">
      <formula1>"1,2,3,4,5,6,7,8,9,10"</formula1>
    </dataValidation>
    <dataValidation sqref="F3:F202" showDropDown="0" showInputMessage="0" showErrorMessage="1" allowBlank="0" errorTitle="climblog" error="Value outside the allowed range/choices" type="list">
      <formula1>"1,2,3,4,5,6,7,8,9,10"</formula1>
    </dataValidation>
    <dataValidation sqref="H3:H202" showDropDown="0" showInputMessage="0" showErrorMessage="1" allowBlank="0" errorTitle="climblog" error="Value outside the allowed range/choices" type="list">
      <formula1>"1,2,3,4,5,6,7,8,9,10"</formula1>
    </dataValidation>
    <dataValidation sqref="I3:I202" showDropDown="0" showInputMessage="0" showErrorMessage="1" allowBlank="0" errorTitle="climblog" error="Value outside the allowed range/choices" type="list">
      <formula1>"1,2,3,4,5,6,7,8,9,10"</formula1>
    </dataValidation>
    <dataValidation sqref="J3:J202" showDropDown="0" showInputMessage="0" showErrorMessage="1" allowBlank="0" errorTitle="climblog" error="Value outside the allowed range/choices" type="list">
      <formula1>"1,2,3,4,5,6,7,8,9,10"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3" max="3"/>
  </cols>
  <sheetData>
    <row r="1">
      <c r="A1" s="15" t="inlineStr">
        <is>
          <t>key</t>
        </is>
      </c>
      <c r="B1" s="15" t="inlineStr">
        <is>
          <t>value</t>
        </is>
      </c>
      <c r="C1" s="15" t="inlineStr">
        <is>
          <t>label</t>
        </is>
      </c>
    </row>
    <row r="2">
      <c r="A2" t="inlineStr">
        <is>
          <t>low_max</t>
        </is>
      </c>
      <c r="B2" t="n">
        <v>4</v>
      </c>
      <c r="C2" t="inlineStr">
        <is>
          <t>LOW when the lowest (flipped) score is ≤ this</t>
        </is>
      </c>
    </row>
    <row r="3">
      <c r="A3" t="inlineStr">
        <is>
          <t>watch_max</t>
        </is>
      </c>
      <c r="B3" t="n">
        <v>6</v>
      </c>
      <c r="C3" t="inlineStr">
        <is>
          <t>WATCH when the lowest (flipped) score is ≤ this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journal</t>
        </is>
      </c>
    </row>
    <row r="3">
      <c r="A3" t="inlineStr">
        <is>
          <t>module_version</t>
        </is>
      </c>
      <c r="B3" t="n">
        <v>1</v>
      </c>
    </row>
    <row r="4">
      <c r="A4" t="inlineStr">
        <is>
          <t>schema_synced_at</t>
        </is>
      </c>
      <c r="B4" t="inlineStr">
        <is>
          <t>2026-10-20T21:00:00</t>
        </is>
      </c>
    </row>
    <row r="5">
      <c r="A5" t="inlineStr">
        <is>
          <t>app_version</t>
        </is>
      </c>
      <c r="B5" t="inlineStr">
        <is>
          <t>mockup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2026-10-20T21:10:37Z</dcterms:created>
  <dcterms:modified xsi:type="dcterms:W3CDTF">2026-10-20T21:10:37Z</dcterms:modified>
</cp:coreProperties>
</file>