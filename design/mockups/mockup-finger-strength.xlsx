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Hang sets" sheetId="2" state="visible" r:id="rId2"/>
    <sheet name="Curl sets" sheetId="3" state="visible" r:id="rId3"/>
    <sheet name="_settings" sheetId="4" state="visible" r:id="rId4"/>
    <sheet name="_meta" sheetId="5" state="visible" r:id="rId5"/>
  </sheets>
  <definedNames>
    <definedName name="low_max">_settings!$B$2</definedName>
    <definedName name="watch_max">_settings!$B$3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name val="Arial"/>
      <b val="1"/>
      <color rgb="001F1F1F"/>
      <sz val="10"/>
    </font>
    <font>
      <name val="Roboto Mono"/>
      <color rgb="00404040"/>
      <sz val="9"/>
    </font>
    <font>
      <color rgb="0059595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BFBFBF"/>
      </patternFill>
    </fill>
    <fill>
      <patternFill patternType="solid">
        <fgColor rgb="00E7E6E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D9C3E9"/>
      </patternFill>
    </fill>
    <fill>
      <patternFill patternType="solid">
        <fgColor rgb="00EADC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</border>
    <border>
      <left style="thin">
        <color rgb="00A6A6A6"/>
      </left>
      <right style="thin">
        <color rgb="00A6A6A6"/>
      </right>
      <bottom style="medium">
        <color rgb="0059595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shrinkToFit="1"/>
    </xf>
    <xf numFmtId="0" fontId="2" fillId="5" borderId="2" applyAlignment="1" pivotButton="0" quotePrefix="0" xfId="0">
      <alignment horizontal="center" vertical="center" shrinkToFit="1"/>
    </xf>
    <xf numFmtId="0" fontId="2" fillId="7" borderId="2" applyAlignment="1" pivotButton="0" quotePrefix="0" xfId="0">
      <alignment horizontal="center" vertical="center" shrinkToFit="1"/>
    </xf>
    <xf numFmtId="0" fontId="2" fillId="9" borderId="2" applyAlignment="1" pivotButton="0" quotePrefix="0" xfId="0">
      <alignment horizontal="center" vertical="center" shrinkToFit="1"/>
    </xf>
    <xf numFmtId="0" fontId="2" fillId="10" borderId="2" applyAlignment="1" pivotButton="0" quotePrefix="0" xfId="0">
      <alignment horizontal="center" vertical="center" shrinkToFit="1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0" fontId="1" fillId="11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shrinkToFit="1"/>
    </xf>
    <xf numFmtId="0" fontId="1" fillId="13" borderId="1" applyAlignment="1" pivotButton="0" quotePrefix="0" xfId="0">
      <alignment horizontal="center" vertical="center" wrapText="1"/>
    </xf>
    <xf numFmtId="0" fontId="2" fillId="14" borderId="2" applyAlignment="1" pivotButton="0" quotePrefix="0" xfId="0">
      <alignment horizontal="center" vertical="center" shrinkToFit="1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climblog</author>
  </authors>
  <commentList>
    <comment ref="A2" authorId="0" shapeId="0">
      <text>
        <t>Row 2 holds the field keys the app matches on. Do not edit this row; labels in row 1 can be reworded freely.</t>
      </text>
    </comment>
  </commentList>
</comments>
</file>

<file path=xl/comments/comment2.xml><?xml version="1.0" encoding="utf-8"?>
<comments xmlns="http://schemas.openxmlformats.org/spreadsheetml/2006/main">
  <authors>
    <author>climblog</author>
  </authors>
  <commentList>
    <comment ref="A2" authorId="0" shapeId="0">
      <text>
        <t>Row 2 holds the field keys the app matches on. Do not edit this row; labels in row 1 can be reworded freely.</t>
      </text>
    </comment>
  </commentList>
</comments>
</file>

<file path=xl/comments/comment3.xml><?xml version="1.0" encoding="utf-8"?>
<comments xmlns="http://schemas.openxmlformats.org/spreadsheetml/2006/main">
  <authors>
    <author>climblog</author>
  </authors>
  <commentList>
    <comment ref="A2" authorId="0" shapeId="0">
      <text>
        <t>Row 2 holds the field keys the app matches on. Do not edit this row; labels in row 1 can be reworded freely.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40" customWidth="1" min="8" max="8"/>
    <col width="9" customWidth="1" min="9" max="9"/>
    <col width="10" customWidth="1" min="10" max="10"/>
    <col width="6" customWidth="1" min="11" max="11"/>
    <col width="9" customWidth="1" min="12" max="12"/>
    <col width="9" customWidth="1" min="13" max="13"/>
    <col width="9" customWidth="1" min="14" max="14"/>
    <col width="12" customWidth="1" min="15" max="15"/>
    <col hidden="1" width="10" customWidth="1" min="16" max="16"/>
    <col width="12" customWidth="1" min="17" max="17"/>
    <col width="8" customWidth="1" min="18" max="18"/>
  </cols>
  <sheetData>
    <row r="1" ht="48" customHeight="1">
      <c r="A1" s="1" t="inlineStr">
        <is>
          <t>Date</t>
        </is>
      </c>
      <c r="B1" s="1" t="inlineStr">
        <is>
          <t>Session type</t>
        </is>
      </c>
      <c r="C1" s="2" t="inlineStr">
        <is>
          <t>Start time
(optional)</t>
        </is>
      </c>
      <c r="D1" s="2" t="inlineStr">
        <is>
          <t>Fingers before
(1–10 ↓)</t>
        </is>
      </c>
      <c r="E1" s="2" t="inlineStr">
        <is>
          <t>Forearms before
(1–10 ↓)</t>
        </is>
      </c>
      <c r="F1" s="2" t="inlineStr">
        <is>
          <t>Shoulders before
(1–10 ↓)</t>
        </is>
      </c>
      <c r="G1" s="3" t="inlineStr">
        <is>
          <t>Session effort
(1–10)</t>
        </is>
      </c>
      <c r="H1" s="3" t="inlineStr">
        <is>
          <t>Notes</t>
        </is>
      </c>
      <c r="I1" s="4" t="inlineStr">
        <is>
          <t>Readiness</t>
        </is>
      </c>
      <c r="J1" s="4" t="inlineStr">
        <is>
          <t>Readiness status</t>
        </is>
      </c>
      <c r="K1" s="4" t="inlineStr">
        <is>
          <t>Sets</t>
        </is>
      </c>
      <c r="L1" s="4" t="inlineStr">
        <is>
          <t>Top added
kg (hangs)</t>
        </is>
      </c>
      <c r="M1" s="4" t="inlineStr">
        <is>
          <t>Est. 1RM
left (curls)</t>
        </is>
      </c>
      <c r="N1" s="4" t="inlineStr">
        <is>
          <t>Est. 1RM
right (curls)</t>
        </is>
      </c>
      <c r="O1" s="4" t="inlineStr">
        <is>
          <t>L/R imbalance %
(+ = left stronger)</t>
        </is>
      </c>
      <c r="P1" s="4" t="inlineStr">
        <is>
          <t>key (auto, hidden)</t>
        </is>
      </c>
      <c r="Q1" s="5" t="inlineStr">
        <is>
          <t>updated_at
(app fills)</t>
        </is>
      </c>
      <c r="R1" s="5" t="inlineStr">
        <is>
          <t>deleted
(app fills)</t>
        </is>
      </c>
    </row>
    <row r="2" ht="18" customHeight="1">
      <c r="A2" s="6" t="inlineStr">
        <is>
          <t>date</t>
        </is>
      </c>
      <c r="B2" s="6" t="inlineStr">
        <is>
          <t>session_type</t>
        </is>
      </c>
      <c r="C2" s="7" t="inlineStr">
        <is>
          <t>start_time</t>
        </is>
      </c>
      <c r="D2" s="7" t="inlineStr">
        <is>
          <t>pre_fingers</t>
        </is>
      </c>
      <c r="E2" s="7" t="inlineStr">
        <is>
          <t>pre_forearms</t>
        </is>
      </c>
      <c r="F2" s="7" t="inlineStr">
        <is>
          <t>pre_shoulders</t>
        </is>
      </c>
      <c r="G2" s="8" t="inlineStr">
        <is>
          <t>session_rpe</t>
        </is>
      </c>
      <c r="H2" s="8" t="inlineStr">
        <is>
          <t>notes</t>
        </is>
      </c>
      <c r="I2" s="9" t="inlineStr">
        <is>
          <t>auto:readiness</t>
        </is>
      </c>
      <c r="J2" s="9" t="inlineStr">
        <is>
          <t>auto:readiness_status</t>
        </is>
      </c>
      <c r="K2" s="9" t="inlineStr">
        <is>
          <t>auto:n_sets</t>
        </is>
      </c>
      <c r="L2" s="9" t="inlineStr">
        <is>
          <t>auto:top_added_kg</t>
        </is>
      </c>
      <c r="M2" s="9" t="inlineStr">
        <is>
          <t>auto:est_1rm_left</t>
        </is>
      </c>
      <c r="N2" s="9" t="inlineStr">
        <is>
          <t>auto:est_1rm_right</t>
        </is>
      </c>
      <c r="O2" s="9" t="inlineStr">
        <is>
          <t>auto:lr_imbalance_pct</t>
        </is>
      </c>
      <c r="P2" s="9" t="inlineStr">
        <is>
          <t>auto:_key</t>
        </is>
      </c>
      <c r="Q2" s="10" t="inlineStr">
        <is>
          <t>updated_at</t>
        </is>
      </c>
      <c r="R2" s="10" t="inlineStr">
        <is>
          <t>deleted</t>
        </is>
      </c>
    </row>
    <row r="3">
      <c r="A3" s="11" t="n">
        <v>46309</v>
      </c>
      <c r="B3" t="inlineStr">
        <is>
          <t>Max hangs</t>
        </is>
      </c>
      <c r="C3" s="12" t="n">
        <v>0.7708333333333334</v>
      </c>
      <c r="D3" t="n">
        <v>2</v>
      </c>
      <c r="E3" t="n">
        <v>3</v>
      </c>
      <c r="F3" t="n">
        <v>4</v>
      </c>
      <c r="G3" t="n">
        <v>8</v>
      </c>
      <c r="H3" s="13" t="inlineStr">
        <is>
          <t>[ESEMPIO] Dita fresche, pelle ok. Ultima serie più dura del previsto.</t>
        </is>
      </c>
      <c r="I3" s="14">
        <f>IF(COUNT(D3:F3)=0,"",ROUND(11-AVERAGE(D3:F3),1))</f>
        <v/>
      </c>
      <c r="J3" s="14">
        <f>IF(COUNT(D3:F3)=0,"",IF(11-MAX(D3:F3)&lt;=low_max,"LOW",IF(11-MAX(D3:F3)&lt;=watch_max,"WATCH","GOOD")))</f>
        <v/>
      </c>
      <c r="K3" s="15">
        <f>IF(OR($A3="",B3=""),"",IF(B3="Max hangs",COUNTIFS('Hang sets'!$N$3:$N$202,P3),COUNTIFS('Curl sets'!$P$3:$P$202,P3)))</f>
        <v/>
      </c>
      <c r="L3" s="14">
        <f>IF(OR(B3&lt;&gt;"Max hangs",N(K3)=0),"",_xlfn.MAXIFS('Hang sets'!$G$3:$G$202,'Hang sets'!$N$3:$N$202,P3))</f>
        <v/>
      </c>
      <c r="M3" s="14">
        <f>IF(OR(B3&lt;&gt;"Finger curls",N(K3)=0),"",_xlfn.MAXIFS('Curl sets'!$L$3:$L$202,'Curl sets'!$P$3:$P$202,P3))</f>
        <v/>
      </c>
      <c r="N3" s="14">
        <f>IF(OR(B3&lt;&gt;"Finger curls",N(K3)=0),"",_xlfn.MAXIFS('Curl sets'!$M$3:$M$202,'Curl sets'!$P$3:$P$202,P3))</f>
        <v/>
      </c>
      <c r="O3" s="14">
        <f>IF(COUNT(M3,N3)&lt;2,"",ROUND(100*(M3-N3)/MAX(M3,N3),1))</f>
        <v/>
      </c>
      <c r="P3" s="15">
        <f>IF(OR($A3="",B3=""),"",$A3*10+IF(B3="Max hangs",1,2))</f>
        <v/>
      </c>
    </row>
    <row r="4">
      <c r="A4" s="11" t="n">
        <v>46311</v>
      </c>
      <c r="B4" t="inlineStr">
        <is>
          <t>Finger curls</t>
        </is>
      </c>
      <c r="C4" s="12" t="n">
        <v>0.7916666666666666</v>
      </c>
      <c r="D4" t="n">
        <v>3</v>
      </c>
      <c r="E4" t="n">
        <v>5</v>
      </c>
      <c r="F4" t="n">
        <v>3</v>
      </c>
      <c r="G4" t="n">
        <v>7</v>
      </c>
      <c r="H4" s="13" t="inlineStr">
        <is>
          <t>[ESEMPIO] Sinistra un po' più debole, già notato la settimana scorsa.</t>
        </is>
      </c>
      <c r="I4" s="14">
        <f>IF(COUNT(D4:F4)=0,"",ROUND(11-AVERAGE(D4:F4),1))</f>
        <v/>
      </c>
      <c r="J4" s="14">
        <f>IF(COUNT(D4:F4)=0,"",IF(11-MAX(D4:F4)&lt;=low_max,"LOW",IF(11-MAX(D4:F4)&lt;=watch_max,"WATCH","GOOD")))</f>
        <v/>
      </c>
      <c r="K4" s="15">
        <f>IF(OR($A4="",B4=""),"",IF(B4="Max hangs",COUNTIFS('Hang sets'!$N$3:$N$202,P4),COUNTIFS('Curl sets'!$P$3:$P$202,P4)))</f>
        <v/>
      </c>
      <c r="L4" s="14">
        <f>IF(OR(B4&lt;&gt;"Max hangs",N(K4)=0),"",_xlfn.MAXIFS('Hang sets'!$G$3:$G$202,'Hang sets'!$N$3:$N$202,P4))</f>
        <v/>
      </c>
      <c r="M4" s="14">
        <f>IF(OR(B4&lt;&gt;"Finger curls",N(K4)=0),"",_xlfn.MAXIFS('Curl sets'!$L$3:$L$202,'Curl sets'!$P$3:$P$202,P4))</f>
        <v/>
      </c>
      <c r="N4" s="14">
        <f>IF(OR(B4&lt;&gt;"Finger curls",N(K4)=0),"",_xlfn.MAXIFS('Curl sets'!$M$3:$M$202,'Curl sets'!$P$3:$P$202,P4))</f>
        <v/>
      </c>
      <c r="O4" s="14">
        <f>IF(COUNT(M4,N4)&lt;2,"",ROUND(100*(M4-N4)/MAX(M4,N4),1))</f>
        <v/>
      </c>
      <c r="P4" s="15">
        <f>IF(OR($A4="",B4=""),"",$A4*10+IF(B4="Max hangs",1,2))</f>
        <v/>
      </c>
    </row>
    <row r="5">
      <c r="A5" s="11" t="n">
        <v>46314</v>
      </c>
      <c r="B5" t="inlineStr">
        <is>
          <t>Max hangs</t>
        </is>
      </c>
      <c r="C5" s="12" t="n">
        <v>0.3333333333333333</v>
      </c>
      <c r="D5" t="n">
        <v>2</v>
      </c>
      <c r="E5" t="n">
        <v>2</v>
      </c>
      <c r="F5" t="n">
        <v>3</v>
      </c>
      <c r="G5" t="n">
        <v>9</v>
      </c>
      <c r="H5" s="13" t="inlineStr">
        <is>
          <t>[ESEMPIO] Mattina, prima del lavoro: ottime sensazioni.</t>
        </is>
      </c>
      <c r="I5" s="14">
        <f>IF(COUNT(D5:F5)=0,"",ROUND(11-AVERAGE(D5:F5),1))</f>
        <v/>
      </c>
      <c r="J5" s="14">
        <f>IF(COUNT(D5:F5)=0,"",IF(11-MAX(D5:F5)&lt;=low_max,"LOW",IF(11-MAX(D5:F5)&lt;=watch_max,"WATCH","GOOD")))</f>
        <v/>
      </c>
      <c r="K5" s="15">
        <f>IF(OR($A5="",B5=""),"",IF(B5="Max hangs",COUNTIFS('Hang sets'!$N$3:$N$202,P5),COUNTIFS('Curl sets'!$P$3:$P$202,P5)))</f>
        <v/>
      </c>
      <c r="L5" s="14">
        <f>IF(OR(B5&lt;&gt;"Max hangs",N(K5)=0),"",_xlfn.MAXIFS('Hang sets'!$G$3:$G$202,'Hang sets'!$N$3:$N$202,P5))</f>
        <v/>
      </c>
      <c r="M5" s="14">
        <f>IF(OR(B5&lt;&gt;"Finger curls",N(K5)=0),"",_xlfn.MAXIFS('Curl sets'!$L$3:$L$202,'Curl sets'!$P$3:$P$202,P5))</f>
        <v/>
      </c>
      <c r="N5" s="14">
        <f>IF(OR(B5&lt;&gt;"Finger curls",N(K5)=0),"",_xlfn.MAXIFS('Curl sets'!$M$3:$M$202,'Curl sets'!$P$3:$P$202,P5))</f>
        <v/>
      </c>
      <c r="O5" s="14">
        <f>IF(COUNT(M5,N5)&lt;2,"",ROUND(100*(M5-N5)/MAX(M5,N5),1))</f>
        <v/>
      </c>
      <c r="P5" s="15">
        <f>IF(OR($A5="",B5=""),"",$A5*10+IF(B5="Max hangs",1,2))</f>
        <v/>
      </c>
    </row>
    <row r="6">
      <c r="A6" s="11" t="n">
        <v>46314</v>
      </c>
      <c r="B6" t="inlineStr">
        <is>
          <t>Finger curls</t>
        </is>
      </c>
      <c r="C6" s="12" t="n">
        <v>0.8541666666666666</v>
      </c>
      <c r="D6" t="n">
        <v>4</v>
      </c>
      <c r="E6" t="n">
        <v>6</v>
      </c>
      <c r="F6" t="n">
        <v>3</v>
      </c>
      <c r="G6" t="n">
        <v>8</v>
      </c>
      <c r="H6" s="13" t="inlineStr">
        <is>
          <t>[ESEMPIO] Sera: avambracci ancora stanchi dalle sospensioni.</t>
        </is>
      </c>
      <c r="I6" s="14">
        <f>IF(COUNT(D6:F6)=0,"",ROUND(11-AVERAGE(D6:F6),1))</f>
        <v/>
      </c>
      <c r="J6" s="14">
        <f>IF(COUNT(D6:F6)=0,"",IF(11-MAX(D6:F6)&lt;=low_max,"LOW",IF(11-MAX(D6:F6)&lt;=watch_max,"WATCH","GOOD")))</f>
        <v/>
      </c>
      <c r="K6" s="15">
        <f>IF(OR($A6="",B6=""),"",IF(B6="Max hangs",COUNTIFS('Hang sets'!$N$3:$N$202,P6),COUNTIFS('Curl sets'!$P$3:$P$202,P6)))</f>
        <v/>
      </c>
      <c r="L6" s="14">
        <f>IF(OR(B6&lt;&gt;"Max hangs",N(K6)=0),"",_xlfn.MAXIFS('Hang sets'!$G$3:$G$202,'Hang sets'!$N$3:$N$202,P6))</f>
        <v/>
      </c>
      <c r="M6" s="14">
        <f>IF(OR(B6&lt;&gt;"Finger curls",N(K6)=0),"",_xlfn.MAXIFS('Curl sets'!$L$3:$L$202,'Curl sets'!$P$3:$P$202,P6))</f>
        <v/>
      </c>
      <c r="N6" s="14">
        <f>IF(OR(B6&lt;&gt;"Finger curls",N(K6)=0),"",_xlfn.MAXIFS('Curl sets'!$M$3:$M$202,'Curl sets'!$P$3:$P$202,P6))</f>
        <v/>
      </c>
      <c r="O6" s="14">
        <f>IF(COUNT(M6,N6)&lt;2,"",ROUND(100*(M6-N6)/MAX(M6,N6),1))</f>
        <v/>
      </c>
      <c r="P6" s="15">
        <f>IF(OR($A6="",B6=""),"",$A6*10+IF(B6="Max hangs",1,2))</f>
        <v/>
      </c>
    </row>
    <row r="7">
      <c r="A7" s="11" t="n"/>
      <c r="C7" s="12" t="n"/>
      <c r="H7" s="13" t="n"/>
      <c r="I7" s="14">
        <f>IF(COUNT(D7:F7)=0,"",ROUND(11-AVERAGE(D7:F7),1))</f>
        <v/>
      </c>
      <c r="J7" s="14">
        <f>IF(COUNT(D7:F7)=0,"",IF(11-MAX(D7:F7)&lt;=low_max,"LOW",IF(11-MAX(D7:F7)&lt;=watch_max,"WATCH","GOOD")))</f>
        <v/>
      </c>
      <c r="K7" s="15">
        <f>IF(OR($A7="",B7=""),"",IF(B7="Max hangs",COUNTIFS('Hang sets'!$N$3:$N$202,P7),COUNTIFS('Curl sets'!$P$3:$P$202,P7)))</f>
        <v/>
      </c>
      <c r="L7" s="14">
        <f>IF(OR(B7&lt;&gt;"Max hangs",N(K7)=0),"",_xlfn.MAXIFS('Hang sets'!$G$3:$G$202,'Hang sets'!$N$3:$N$202,P7))</f>
        <v/>
      </c>
      <c r="M7" s="14">
        <f>IF(OR(B7&lt;&gt;"Finger curls",N(K7)=0),"",_xlfn.MAXIFS('Curl sets'!$L$3:$L$202,'Curl sets'!$P$3:$P$202,P7))</f>
        <v/>
      </c>
      <c r="N7" s="14">
        <f>IF(OR(B7&lt;&gt;"Finger curls",N(K7)=0),"",_xlfn.MAXIFS('Curl sets'!$M$3:$M$202,'Curl sets'!$P$3:$P$202,P7))</f>
        <v/>
      </c>
      <c r="O7" s="14">
        <f>IF(COUNT(M7,N7)&lt;2,"",ROUND(100*(M7-N7)/MAX(M7,N7),1))</f>
        <v/>
      </c>
      <c r="P7" s="15">
        <f>IF(OR($A7="",B7=""),"",$A7*10+IF(B7="Max hangs",1,2))</f>
        <v/>
      </c>
    </row>
    <row r="8">
      <c r="A8" s="11" t="n"/>
      <c r="C8" s="12" t="n"/>
      <c r="H8" s="13" t="n"/>
      <c r="I8" s="14">
        <f>IF(COUNT(D8:F8)=0,"",ROUND(11-AVERAGE(D8:F8),1))</f>
        <v/>
      </c>
      <c r="J8" s="14">
        <f>IF(COUNT(D8:F8)=0,"",IF(11-MAX(D8:F8)&lt;=low_max,"LOW",IF(11-MAX(D8:F8)&lt;=watch_max,"WATCH","GOOD")))</f>
        <v/>
      </c>
      <c r="K8" s="15">
        <f>IF(OR($A8="",B8=""),"",IF(B8="Max hangs",COUNTIFS('Hang sets'!$N$3:$N$202,P8),COUNTIFS('Curl sets'!$P$3:$P$202,P8)))</f>
        <v/>
      </c>
      <c r="L8" s="14">
        <f>IF(OR(B8&lt;&gt;"Max hangs",N(K8)=0),"",_xlfn.MAXIFS('Hang sets'!$G$3:$G$202,'Hang sets'!$N$3:$N$202,P8))</f>
        <v/>
      </c>
      <c r="M8" s="14">
        <f>IF(OR(B8&lt;&gt;"Finger curls",N(K8)=0),"",_xlfn.MAXIFS('Curl sets'!$L$3:$L$202,'Curl sets'!$P$3:$P$202,P8))</f>
        <v/>
      </c>
      <c r="N8" s="14">
        <f>IF(OR(B8&lt;&gt;"Finger curls",N(K8)=0),"",_xlfn.MAXIFS('Curl sets'!$M$3:$M$202,'Curl sets'!$P$3:$P$202,P8))</f>
        <v/>
      </c>
      <c r="O8" s="14">
        <f>IF(COUNT(M8,N8)&lt;2,"",ROUND(100*(M8-N8)/MAX(M8,N8),1))</f>
        <v/>
      </c>
      <c r="P8" s="15">
        <f>IF(OR($A8="",B8=""),"",$A8*10+IF(B8="Max hangs",1,2))</f>
        <v/>
      </c>
    </row>
    <row r="9">
      <c r="A9" s="11" t="n"/>
      <c r="C9" s="12" t="n"/>
      <c r="H9" s="13" t="n"/>
      <c r="I9" s="14">
        <f>IF(COUNT(D9:F9)=0,"",ROUND(11-AVERAGE(D9:F9),1))</f>
        <v/>
      </c>
      <c r="J9" s="14">
        <f>IF(COUNT(D9:F9)=0,"",IF(11-MAX(D9:F9)&lt;=low_max,"LOW",IF(11-MAX(D9:F9)&lt;=watch_max,"WATCH","GOOD")))</f>
        <v/>
      </c>
      <c r="K9" s="15">
        <f>IF(OR($A9="",B9=""),"",IF(B9="Max hangs",COUNTIFS('Hang sets'!$N$3:$N$202,P9),COUNTIFS('Curl sets'!$P$3:$P$202,P9)))</f>
        <v/>
      </c>
      <c r="L9" s="14">
        <f>IF(OR(B9&lt;&gt;"Max hangs",N(K9)=0),"",_xlfn.MAXIFS('Hang sets'!$G$3:$G$202,'Hang sets'!$N$3:$N$202,P9))</f>
        <v/>
      </c>
      <c r="M9" s="14">
        <f>IF(OR(B9&lt;&gt;"Finger curls",N(K9)=0),"",_xlfn.MAXIFS('Curl sets'!$L$3:$L$202,'Curl sets'!$P$3:$P$202,P9))</f>
        <v/>
      </c>
      <c r="N9" s="14">
        <f>IF(OR(B9&lt;&gt;"Finger curls",N(K9)=0),"",_xlfn.MAXIFS('Curl sets'!$M$3:$M$202,'Curl sets'!$P$3:$P$202,P9))</f>
        <v/>
      </c>
      <c r="O9" s="14">
        <f>IF(COUNT(M9,N9)&lt;2,"",ROUND(100*(M9-N9)/MAX(M9,N9),1))</f>
        <v/>
      </c>
      <c r="P9" s="15">
        <f>IF(OR($A9="",B9=""),"",$A9*10+IF(B9="Max hangs",1,2))</f>
        <v/>
      </c>
    </row>
    <row r="10">
      <c r="A10" s="11" t="n"/>
      <c r="C10" s="12" t="n"/>
      <c r="H10" s="13" t="n"/>
      <c r="I10" s="14">
        <f>IF(COUNT(D10:F10)=0,"",ROUND(11-AVERAGE(D10:F10),1))</f>
        <v/>
      </c>
      <c r="J10" s="14">
        <f>IF(COUNT(D10:F10)=0,"",IF(11-MAX(D10:F10)&lt;=low_max,"LOW",IF(11-MAX(D10:F10)&lt;=watch_max,"WATCH","GOOD")))</f>
        <v/>
      </c>
      <c r="K10" s="15">
        <f>IF(OR($A10="",B10=""),"",IF(B10="Max hangs",COUNTIFS('Hang sets'!$N$3:$N$202,P10),COUNTIFS('Curl sets'!$P$3:$P$202,P10)))</f>
        <v/>
      </c>
      <c r="L10" s="14">
        <f>IF(OR(B10&lt;&gt;"Max hangs",N(K10)=0),"",_xlfn.MAXIFS('Hang sets'!$G$3:$G$202,'Hang sets'!$N$3:$N$202,P10))</f>
        <v/>
      </c>
      <c r="M10" s="14">
        <f>IF(OR(B10&lt;&gt;"Finger curls",N(K10)=0),"",_xlfn.MAXIFS('Curl sets'!$L$3:$L$202,'Curl sets'!$P$3:$P$202,P10))</f>
        <v/>
      </c>
      <c r="N10" s="14">
        <f>IF(OR(B10&lt;&gt;"Finger curls",N(K10)=0),"",_xlfn.MAXIFS('Curl sets'!$M$3:$M$202,'Curl sets'!$P$3:$P$202,P10))</f>
        <v/>
      </c>
      <c r="O10" s="14">
        <f>IF(COUNT(M10,N10)&lt;2,"",ROUND(100*(M10-N10)/MAX(M10,N10),1))</f>
        <v/>
      </c>
      <c r="P10" s="15">
        <f>IF(OR($A10="",B10=""),"",$A10*10+IF(B10="Max hangs",1,2))</f>
        <v/>
      </c>
    </row>
    <row r="11">
      <c r="A11" s="11" t="n"/>
      <c r="C11" s="12" t="n"/>
      <c r="H11" s="13" t="n"/>
      <c r="I11" s="14">
        <f>IF(COUNT(D11:F11)=0,"",ROUND(11-AVERAGE(D11:F11),1))</f>
        <v/>
      </c>
      <c r="J11" s="14">
        <f>IF(COUNT(D11:F11)=0,"",IF(11-MAX(D11:F11)&lt;=low_max,"LOW",IF(11-MAX(D11:F11)&lt;=watch_max,"WATCH","GOOD")))</f>
        <v/>
      </c>
      <c r="K11" s="15">
        <f>IF(OR($A11="",B11=""),"",IF(B11="Max hangs",COUNTIFS('Hang sets'!$N$3:$N$202,P11),COUNTIFS('Curl sets'!$P$3:$P$202,P11)))</f>
        <v/>
      </c>
      <c r="L11" s="14">
        <f>IF(OR(B11&lt;&gt;"Max hangs",N(K11)=0),"",_xlfn.MAXIFS('Hang sets'!$G$3:$G$202,'Hang sets'!$N$3:$N$202,P11))</f>
        <v/>
      </c>
      <c r="M11" s="14">
        <f>IF(OR(B11&lt;&gt;"Finger curls",N(K11)=0),"",_xlfn.MAXIFS('Curl sets'!$L$3:$L$202,'Curl sets'!$P$3:$P$202,P11))</f>
        <v/>
      </c>
      <c r="N11" s="14">
        <f>IF(OR(B11&lt;&gt;"Finger curls",N(K11)=0),"",_xlfn.MAXIFS('Curl sets'!$M$3:$M$202,'Curl sets'!$P$3:$P$202,P11))</f>
        <v/>
      </c>
      <c r="O11" s="14">
        <f>IF(COUNT(M11,N11)&lt;2,"",ROUND(100*(M11-N11)/MAX(M11,N11),1))</f>
        <v/>
      </c>
      <c r="P11" s="15">
        <f>IF(OR($A11="",B11=""),"",$A11*10+IF(B11="Max hangs",1,2))</f>
        <v/>
      </c>
    </row>
    <row r="12">
      <c r="A12" s="11" t="n"/>
      <c r="C12" s="12" t="n"/>
      <c r="H12" s="13" t="n"/>
      <c r="I12" s="14">
        <f>IF(COUNT(D12:F12)=0,"",ROUND(11-AVERAGE(D12:F12),1))</f>
        <v/>
      </c>
      <c r="J12" s="14">
        <f>IF(COUNT(D12:F12)=0,"",IF(11-MAX(D12:F12)&lt;=low_max,"LOW",IF(11-MAX(D12:F12)&lt;=watch_max,"WATCH","GOOD")))</f>
        <v/>
      </c>
      <c r="K12" s="15">
        <f>IF(OR($A12="",B12=""),"",IF(B12="Max hangs",COUNTIFS('Hang sets'!$N$3:$N$202,P12),COUNTIFS('Curl sets'!$P$3:$P$202,P12)))</f>
        <v/>
      </c>
      <c r="L12" s="14">
        <f>IF(OR(B12&lt;&gt;"Max hangs",N(K12)=0),"",_xlfn.MAXIFS('Hang sets'!$G$3:$G$202,'Hang sets'!$N$3:$N$202,P12))</f>
        <v/>
      </c>
      <c r="M12" s="14">
        <f>IF(OR(B12&lt;&gt;"Finger curls",N(K12)=0),"",_xlfn.MAXIFS('Curl sets'!$L$3:$L$202,'Curl sets'!$P$3:$P$202,P12))</f>
        <v/>
      </c>
      <c r="N12" s="14">
        <f>IF(OR(B12&lt;&gt;"Finger curls",N(K12)=0),"",_xlfn.MAXIFS('Curl sets'!$M$3:$M$202,'Curl sets'!$P$3:$P$202,P12))</f>
        <v/>
      </c>
      <c r="O12" s="14">
        <f>IF(COUNT(M12,N12)&lt;2,"",ROUND(100*(M12-N12)/MAX(M12,N12),1))</f>
        <v/>
      </c>
      <c r="P12" s="15">
        <f>IF(OR($A12="",B12=""),"",$A12*10+IF(B12="Max hangs",1,2))</f>
        <v/>
      </c>
    </row>
    <row r="13">
      <c r="A13" s="11" t="n"/>
      <c r="C13" s="12" t="n"/>
      <c r="H13" s="13" t="n"/>
      <c r="I13" s="14">
        <f>IF(COUNT(D13:F13)=0,"",ROUND(11-AVERAGE(D13:F13),1))</f>
        <v/>
      </c>
      <c r="J13" s="14">
        <f>IF(COUNT(D13:F13)=0,"",IF(11-MAX(D13:F13)&lt;=low_max,"LOW",IF(11-MAX(D13:F13)&lt;=watch_max,"WATCH","GOOD")))</f>
        <v/>
      </c>
      <c r="K13" s="15">
        <f>IF(OR($A13="",B13=""),"",IF(B13="Max hangs",COUNTIFS('Hang sets'!$N$3:$N$202,P13),COUNTIFS('Curl sets'!$P$3:$P$202,P13)))</f>
        <v/>
      </c>
      <c r="L13" s="14">
        <f>IF(OR(B13&lt;&gt;"Max hangs",N(K13)=0),"",_xlfn.MAXIFS('Hang sets'!$G$3:$G$202,'Hang sets'!$N$3:$N$202,P13))</f>
        <v/>
      </c>
      <c r="M13" s="14">
        <f>IF(OR(B13&lt;&gt;"Finger curls",N(K13)=0),"",_xlfn.MAXIFS('Curl sets'!$L$3:$L$202,'Curl sets'!$P$3:$P$202,P13))</f>
        <v/>
      </c>
      <c r="N13" s="14">
        <f>IF(OR(B13&lt;&gt;"Finger curls",N(K13)=0),"",_xlfn.MAXIFS('Curl sets'!$M$3:$M$202,'Curl sets'!$P$3:$P$202,P13))</f>
        <v/>
      </c>
      <c r="O13" s="14">
        <f>IF(COUNT(M13,N13)&lt;2,"",ROUND(100*(M13-N13)/MAX(M13,N13),1))</f>
        <v/>
      </c>
      <c r="P13" s="15">
        <f>IF(OR($A13="",B13=""),"",$A13*10+IF(B13="Max hangs",1,2))</f>
        <v/>
      </c>
    </row>
    <row r="14">
      <c r="A14" s="11" t="n"/>
      <c r="C14" s="12" t="n"/>
      <c r="H14" s="13" t="n"/>
      <c r="I14" s="14">
        <f>IF(COUNT(D14:F14)=0,"",ROUND(11-AVERAGE(D14:F14),1))</f>
        <v/>
      </c>
      <c r="J14" s="14">
        <f>IF(COUNT(D14:F14)=0,"",IF(11-MAX(D14:F14)&lt;=low_max,"LOW",IF(11-MAX(D14:F14)&lt;=watch_max,"WATCH","GOOD")))</f>
        <v/>
      </c>
      <c r="K14" s="15">
        <f>IF(OR($A14="",B14=""),"",IF(B14="Max hangs",COUNTIFS('Hang sets'!$N$3:$N$202,P14),COUNTIFS('Curl sets'!$P$3:$P$202,P14)))</f>
        <v/>
      </c>
      <c r="L14" s="14">
        <f>IF(OR(B14&lt;&gt;"Max hangs",N(K14)=0),"",_xlfn.MAXIFS('Hang sets'!$G$3:$G$202,'Hang sets'!$N$3:$N$202,P14))</f>
        <v/>
      </c>
      <c r="M14" s="14">
        <f>IF(OR(B14&lt;&gt;"Finger curls",N(K14)=0),"",_xlfn.MAXIFS('Curl sets'!$L$3:$L$202,'Curl sets'!$P$3:$P$202,P14))</f>
        <v/>
      </c>
      <c r="N14" s="14">
        <f>IF(OR(B14&lt;&gt;"Finger curls",N(K14)=0),"",_xlfn.MAXIFS('Curl sets'!$M$3:$M$202,'Curl sets'!$P$3:$P$202,P14))</f>
        <v/>
      </c>
      <c r="O14" s="14">
        <f>IF(COUNT(M14,N14)&lt;2,"",ROUND(100*(M14-N14)/MAX(M14,N14),1))</f>
        <v/>
      </c>
      <c r="P14" s="15">
        <f>IF(OR($A14="",B14=""),"",$A14*10+IF(B14="Max hangs",1,2))</f>
        <v/>
      </c>
    </row>
    <row r="15">
      <c r="A15" s="11" t="n"/>
      <c r="C15" s="12" t="n"/>
      <c r="H15" s="13" t="n"/>
      <c r="I15" s="14">
        <f>IF(COUNT(D15:F15)=0,"",ROUND(11-AVERAGE(D15:F15),1))</f>
        <v/>
      </c>
      <c r="J15" s="14">
        <f>IF(COUNT(D15:F15)=0,"",IF(11-MAX(D15:F15)&lt;=low_max,"LOW",IF(11-MAX(D15:F15)&lt;=watch_max,"WATCH","GOOD")))</f>
        <v/>
      </c>
      <c r="K15" s="15">
        <f>IF(OR($A15="",B15=""),"",IF(B15="Max hangs",COUNTIFS('Hang sets'!$N$3:$N$202,P15),COUNTIFS('Curl sets'!$P$3:$P$202,P15)))</f>
        <v/>
      </c>
      <c r="L15" s="14">
        <f>IF(OR(B15&lt;&gt;"Max hangs",N(K15)=0),"",_xlfn.MAXIFS('Hang sets'!$G$3:$G$202,'Hang sets'!$N$3:$N$202,P15))</f>
        <v/>
      </c>
      <c r="M15" s="14">
        <f>IF(OR(B15&lt;&gt;"Finger curls",N(K15)=0),"",_xlfn.MAXIFS('Curl sets'!$L$3:$L$202,'Curl sets'!$P$3:$P$202,P15))</f>
        <v/>
      </c>
      <c r="N15" s="14">
        <f>IF(OR(B15&lt;&gt;"Finger curls",N(K15)=0),"",_xlfn.MAXIFS('Curl sets'!$M$3:$M$202,'Curl sets'!$P$3:$P$202,P15))</f>
        <v/>
      </c>
      <c r="O15" s="14">
        <f>IF(COUNT(M15,N15)&lt;2,"",ROUND(100*(M15-N15)/MAX(M15,N15),1))</f>
        <v/>
      </c>
      <c r="P15" s="15">
        <f>IF(OR($A15="",B15=""),"",$A15*10+IF(B15="Max hangs",1,2))</f>
        <v/>
      </c>
    </row>
    <row r="16">
      <c r="A16" s="11" t="n"/>
      <c r="C16" s="12" t="n"/>
      <c r="H16" s="13" t="n"/>
      <c r="I16" s="14">
        <f>IF(COUNT(D16:F16)=0,"",ROUND(11-AVERAGE(D16:F16),1))</f>
        <v/>
      </c>
      <c r="J16" s="14">
        <f>IF(COUNT(D16:F16)=0,"",IF(11-MAX(D16:F16)&lt;=low_max,"LOW",IF(11-MAX(D16:F16)&lt;=watch_max,"WATCH","GOOD")))</f>
        <v/>
      </c>
      <c r="K16" s="15">
        <f>IF(OR($A16="",B16=""),"",IF(B16="Max hangs",COUNTIFS('Hang sets'!$N$3:$N$202,P16),COUNTIFS('Curl sets'!$P$3:$P$202,P16)))</f>
        <v/>
      </c>
      <c r="L16" s="14">
        <f>IF(OR(B16&lt;&gt;"Max hangs",N(K16)=0),"",_xlfn.MAXIFS('Hang sets'!$G$3:$G$202,'Hang sets'!$N$3:$N$202,P16))</f>
        <v/>
      </c>
      <c r="M16" s="14">
        <f>IF(OR(B16&lt;&gt;"Finger curls",N(K16)=0),"",_xlfn.MAXIFS('Curl sets'!$L$3:$L$202,'Curl sets'!$P$3:$P$202,P16))</f>
        <v/>
      </c>
      <c r="N16" s="14">
        <f>IF(OR(B16&lt;&gt;"Finger curls",N(K16)=0),"",_xlfn.MAXIFS('Curl sets'!$M$3:$M$202,'Curl sets'!$P$3:$P$202,P16))</f>
        <v/>
      </c>
      <c r="O16" s="14">
        <f>IF(COUNT(M16,N16)&lt;2,"",ROUND(100*(M16-N16)/MAX(M16,N16),1))</f>
        <v/>
      </c>
      <c r="P16" s="15">
        <f>IF(OR($A16="",B16=""),"",$A16*10+IF(B16="Max hangs",1,2))</f>
        <v/>
      </c>
    </row>
    <row r="17">
      <c r="A17" s="11" t="n"/>
      <c r="C17" s="12" t="n"/>
      <c r="H17" s="13" t="n"/>
      <c r="I17" s="14">
        <f>IF(COUNT(D17:F17)=0,"",ROUND(11-AVERAGE(D17:F17),1))</f>
        <v/>
      </c>
      <c r="J17" s="14">
        <f>IF(COUNT(D17:F17)=0,"",IF(11-MAX(D17:F17)&lt;=low_max,"LOW",IF(11-MAX(D17:F17)&lt;=watch_max,"WATCH","GOOD")))</f>
        <v/>
      </c>
      <c r="K17" s="15">
        <f>IF(OR($A17="",B17=""),"",IF(B17="Max hangs",COUNTIFS('Hang sets'!$N$3:$N$202,P17),COUNTIFS('Curl sets'!$P$3:$P$202,P17)))</f>
        <v/>
      </c>
      <c r="L17" s="14">
        <f>IF(OR(B17&lt;&gt;"Max hangs",N(K17)=0),"",_xlfn.MAXIFS('Hang sets'!$G$3:$G$202,'Hang sets'!$N$3:$N$202,P17))</f>
        <v/>
      </c>
      <c r="M17" s="14">
        <f>IF(OR(B17&lt;&gt;"Finger curls",N(K17)=0),"",_xlfn.MAXIFS('Curl sets'!$L$3:$L$202,'Curl sets'!$P$3:$P$202,P17))</f>
        <v/>
      </c>
      <c r="N17" s="14">
        <f>IF(OR(B17&lt;&gt;"Finger curls",N(K17)=0),"",_xlfn.MAXIFS('Curl sets'!$M$3:$M$202,'Curl sets'!$P$3:$P$202,P17))</f>
        <v/>
      </c>
      <c r="O17" s="14">
        <f>IF(COUNT(M17,N17)&lt;2,"",ROUND(100*(M17-N17)/MAX(M17,N17),1))</f>
        <v/>
      </c>
      <c r="P17" s="15">
        <f>IF(OR($A17="",B17=""),"",$A17*10+IF(B17="Max hangs",1,2))</f>
        <v/>
      </c>
    </row>
    <row r="18">
      <c r="A18" s="11" t="n"/>
      <c r="C18" s="12" t="n"/>
      <c r="H18" s="13" t="n"/>
      <c r="I18" s="14">
        <f>IF(COUNT(D18:F18)=0,"",ROUND(11-AVERAGE(D18:F18),1))</f>
        <v/>
      </c>
      <c r="J18" s="14">
        <f>IF(COUNT(D18:F18)=0,"",IF(11-MAX(D18:F18)&lt;=low_max,"LOW",IF(11-MAX(D18:F18)&lt;=watch_max,"WATCH","GOOD")))</f>
        <v/>
      </c>
      <c r="K18" s="15">
        <f>IF(OR($A18="",B18=""),"",IF(B18="Max hangs",COUNTIFS('Hang sets'!$N$3:$N$202,P18),COUNTIFS('Curl sets'!$P$3:$P$202,P18)))</f>
        <v/>
      </c>
      <c r="L18" s="14">
        <f>IF(OR(B18&lt;&gt;"Max hangs",N(K18)=0),"",_xlfn.MAXIFS('Hang sets'!$G$3:$G$202,'Hang sets'!$N$3:$N$202,P18))</f>
        <v/>
      </c>
      <c r="M18" s="14">
        <f>IF(OR(B18&lt;&gt;"Finger curls",N(K18)=0),"",_xlfn.MAXIFS('Curl sets'!$L$3:$L$202,'Curl sets'!$P$3:$P$202,P18))</f>
        <v/>
      </c>
      <c r="N18" s="14">
        <f>IF(OR(B18&lt;&gt;"Finger curls",N(K18)=0),"",_xlfn.MAXIFS('Curl sets'!$M$3:$M$202,'Curl sets'!$P$3:$P$202,P18))</f>
        <v/>
      </c>
      <c r="O18" s="14">
        <f>IF(COUNT(M18,N18)&lt;2,"",ROUND(100*(M18-N18)/MAX(M18,N18),1))</f>
        <v/>
      </c>
      <c r="P18" s="15">
        <f>IF(OR($A18="",B18=""),"",$A18*10+IF(B18="Max hangs",1,2))</f>
        <v/>
      </c>
    </row>
    <row r="19">
      <c r="A19" s="11" t="n"/>
      <c r="C19" s="12" t="n"/>
      <c r="H19" s="13" t="n"/>
      <c r="I19" s="14">
        <f>IF(COUNT(D19:F19)=0,"",ROUND(11-AVERAGE(D19:F19),1))</f>
        <v/>
      </c>
      <c r="J19" s="14">
        <f>IF(COUNT(D19:F19)=0,"",IF(11-MAX(D19:F19)&lt;=low_max,"LOW",IF(11-MAX(D19:F19)&lt;=watch_max,"WATCH","GOOD")))</f>
        <v/>
      </c>
      <c r="K19" s="15">
        <f>IF(OR($A19="",B19=""),"",IF(B19="Max hangs",COUNTIFS('Hang sets'!$N$3:$N$202,P19),COUNTIFS('Curl sets'!$P$3:$P$202,P19)))</f>
        <v/>
      </c>
      <c r="L19" s="14">
        <f>IF(OR(B19&lt;&gt;"Max hangs",N(K19)=0),"",_xlfn.MAXIFS('Hang sets'!$G$3:$G$202,'Hang sets'!$N$3:$N$202,P19))</f>
        <v/>
      </c>
      <c r="M19" s="14">
        <f>IF(OR(B19&lt;&gt;"Finger curls",N(K19)=0),"",_xlfn.MAXIFS('Curl sets'!$L$3:$L$202,'Curl sets'!$P$3:$P$202,P19))</f>
        <v/>
      </c>
      <c r="N19" s="14">
        <f>IF(OR(B19&lt;&gt;"Finger curls",N(K19)=0),"",_xlfn.MAXIFS('Curl sets'!$M$3:$M$202,'Curl sets'!$P$3:$P$202,P19))</f>
        <v/>
      </c>
      <c r="O19" s="14">
        <f>IF(COUNT(M19,N19)&lt;2,"",ROUND(100*(M19-N19)/MAX(M19,N19),1))</f>
        <v/>
      </c>
      <c r="P19" s="15">
        <f>IF(OR($A19="",B19=""),"",$A19*10+IF(B19="Max hangs",1,2))</f>
        <v/>
      </c>
    </row>
    <row r="20">
      <c r="A20" s="11" t="n"/>
      <c r="C20" s="12" t="n"/>
      <c r="H20" s="13" t="n"/>
      <c r="I20" s="14">
        <f>IF(COUNT(D20:F20)=0,"",ROUND(11-AVERAGE(D20:F20),1))</f>
        <v/>
      </c>
      <c r="J20" s="14">
        <f>IF(COUNT(D20:F20)=0,"",IF(11-MAX(D20:F20)&lt;=low_max,"LOW",IF(11-MAX(D20:F20)&lt;=watch_max,"WATCH","GOOD")))</f>
        <v/>
      </c>
      <c r="K20" s="15">
        <f>IF(OR($A20="",B20=""),"",IF(B20="Max hangs",COUNTIFS('Hang sets'!$N$3:$N$202,P20),COUNTIFS('Curl sets'!$P$3:$P$202,P20)))</f>
        <v/>
      </c>
      <c r="L20" s="14">
        <f>IF(OR(B20&lt;&gt;"Max hangs",N(K20)=0),"",_xlfn.MAXIFS('Hang sets'!$G$3:$G$202,'Hang sets'!$N$3:$N$202,P20))</f>
        <v/>
      </c>
      <c r="M20" s="14">
        <f>IF(OR(B20&lt;&gt;"Finger curls",N(K20)=0),"",_xlfn.MAXIFS('Curl sets'!$L$3:$L$202,'Curl sets'!$P$3:$P$202,P20))</f>
        <v/>
      </c>
      <c r="N20" s="14">
        <f>IF(OR(B20&lt;&gt;"Finger curls",N(K20)=0),"",_xlfn.MAXIFS('Curl sets'!$M$3:$M$202,'Curl sets'!$P$3:$P$202,P20))</f>
        <v/>
      </c>
      <c r="O20" s="14">
        <f>IF(COUNT(M20,N20)&lt;2,"",ROUND(100*(M20-N20)/MAX(M20,N20),1))</f>
        <v/>
      </c>
      <c r="P20" s="15">
        <f>IF(OR($A20="",B20=""),"",$A20*10+IF(B20="Max hangs",1,2))</f>
        <v/>
      </c>
    </row>
    <row r="21">
      <c r="A21" s="11" t="n"/>
      <c r="C21" s="12" t="n"/>
      <c r="H21" s="13" t="n"/>
      <c r="I21" s="14">
        <f>IF(COUNT(D21:F21)=0,"",ROUND(11-AVERAGE(D21:F21),1))</f>
        <v/>
      </c>
      <c r="J21" s="14">
        <f>IF(COUNT(D21:F21)=0,"",IF(11-MAX(D21:F21)&lt;=low_max,"LOW",IF(11-MAX(D21:F21)&lt;=watch_max,"WATCH","GOOD")))</f>
        <v/>
      </c>
      <c r="K21" s="15">
        <f>IF(OR($A21="",B21=""),"",IF(B21="Max hangs",COUNTIFS('Hang sets'!$N$3:$N$202,P21),COUNTIFS('Curl sets'!$P$3:$P$202,P21)))</f>
        <v/>
      </c>
      <c r="L21" s="14">
        <f>IF(OR(B21&lt;&gt;"Max hangs",N(K21)=0),"",_xlfn.MAXIFS('Hang sets'!$G$3:$G$202,'Hang sets'!$N$3:$N$202,P21))</f>
        <v/>
      </c>
      <c r="M21" s="14">
        <f>IF(OR(B21&lt;&gt;"Finger curls",N(K21)=0),"",_xlfn.MAXIFS('Curl sets'!$L$3:$L$202,'Curl sets'!$P$3:$P$202,P21))</f>
        <v/>
      </c>
      <c r="N21" s="14">
        <f>IF(OR(B21&lt;&gt;"Finger curls",N(K21)=0),"",_xlfn.MAXIFS('Curl sets'!$M$3:$M$202,'Curl sets'!$P$3:$P$202,P21))</f>
        <v/>
      </c>
      <c r="O21" s="14">
        <f>IF(COUNT(M21,N21)&lt;2,"",ROUND(100*(M21-N21)/MAX(M21,N21),1))</f>
        <v/>
      </c>
      <c r="P21" s="15">
        <f>IF(OR($A21="",B21=""),"",$A21*10+IF(B21="Max hangs",1,2))</f>
        <v/>
      </c>
    </row>
    <row r="22">
      <c r="A22" s="11" t="n"/>
      <c r="C22" s="12" t="n"/>
      <c r="H22" s="13" t="n"/>
      <c r="I22" s="14">
        <f>IF(COUNT(D22:F22)=0,"",ROUND(11-AVERAGE(D22:F22),1))</f>
        <v/>
      </c>
      <c r="J22" s="14">
        <f>IF(COUNT(D22:F22)=0,"",IF(11-MAX(D22:F22)&lt;=low_max,"LOW",IF(11-MAX(D22:F22)&lt;=watch_max,"WATCH","GOOD")))</f>
        <v/>
      </c>
      <c r="K22" s="15">
        <f>IF(OR($A22="",B22=""),"",IF(B22="Max hangs",COUNTIFS('Hang sets'!$N$3:$N$202,P22),COUNTIFS('Curl sets'!$P$3:$P$202,P22)))</f>
        <v/>
      </c>
      <c r="L22" s="14">
        <f>IF(OR(B22&lt;&gt;"Max hangs",N(K22)=0),"",_xlfn.MAXIFS('Hang sets'!$G$3:$G$202,'Hang sets'!$N$3:$N$202,P22))</f>
        <v/>
      </c>
      <c r="M22" s="14">
        <f>IF(OR(B22&lt;&gt;"Finger curls",N(K22)=0),"",_xlfn.MAXIFS('Curl sets'!$L$3:$L$202,'Curl sets'!$P$3:$P$202,P22))</f>
        <v/>
      </c>
      <c r="N22" s="14">
        <f>IF(OR(B22&lt;&gt;"Finger curls",N(K22)=0),"",_xlfn.MAXIFS('Curl sets'!$M$3:$M$202,'Curl sets'!$P$3:$P$202,P22))</f>
        <v/>
      </c>
      <c r="O22" s="14">
        <f>IF(COUNT(M22,N22)&lt;2,"",ROUND(100*(M22-N22)/MAX(M22,N22),1))</f>
        <v/>
      </c>
      <c r="P22" s="15">
        <f>IF(OR($A22="",B22=""),"",$A22*10+IF(B22="Max hangs",1,2))</f>
        <v/>
      </c>
    </row>
    <row r="23">
      <c r="A23" s="11" t="n"/>
      <c r="C23" s="12" t="n"/>
      <c r="H23" s="13" t="n"/>
      <c r="I23" s="14">
        <f>IF(COUNT(D23:F23)=0,"",ROUND(11-AVERAGE(D23:F23),1))</f>
        <v/>
      </c>
      <c r="J23" s="14">
        <f>IF(COUNT(D23:F23)=0,"",IF(11-MAX(D23:F23)&lt;=low_max,"LOW",IF(11-MAX(D23:F23)&lt;=watch_max,"WATCH","GOOD")))</f>
        <v/>
      </c>
      <c r="K23" s="15">
        <f>IF(OR($A23="",B23=""),"",IF(B23="Max hangs",COUNTIFS('Hang sets'!$N$3:$N$202,P23),COUNTIFS('Curl sets'!$P$3:$P$202,P23)))</f>
        <v/>
      </c>
      <c r="L23" s="14">
        <f>IF(OR(B23&lt;&gt;"Max hangs",N(K23)=0),"",_xlfn.MAXIFS('Hang sets'!$G$3:$G$202,'Hang sets'!$N$3:$N$202,P23))</f>
        <v/>
      </c>
      <c r="M23" s="14">
        <f>IF(OR(B23&lt;&gt;"Finger curls",N(K23)=0),"",_xlfn.MAXIFS('Curl sets'!$L$3:$L$202,'Curl sets'!$P$3:$P$202,P23))</f>
        <v/>
      </c>
      <c r="N23" s="14">
        <f>IF(OR(B23&lt;&gt;"Finger curls",N(K23)=0),"",_xlfn.MAXIFS('Curl sets'!$M$3:$M$202,'Curl sets'!$P$3:$P$202,P23))</f>
        <v/>
      </c>
      <c r="O23" s="14">
        <f>IF(COUNT(M23,N23)&lt;2,"",ROUND(100*(M23-N23)/MAX(M23,N23),1))</f>
        <v/>
      </c>
      <c r="P23" s="15">
        <f>IF(OR($A23="",B23=""),"",$A23*10+IF(B23="Max hangs",1,2))</f>
        <v/>
      </c>
    </row>
    <row r="24">
      <c r="A24" s="11" t="n"/>
      <c r="C24" s="12" t="n"/>
      <c r="H24" s="13" t="n"/>
      <c r="I24" s="14">
        <f>IF(COUNT(D24:F24)=0,"",ROUND(11-AVERAGE(D24:F24),1))</f>
        <v/>
      </c>
      <c r="J24" s="14">
        <f>IF(COUNT(D24:F24)=0,"",IF(11-MAX(D24:F24)&lt;=low_max,"LOW",IF(11-MAX(D24:F24)&lt;=watch_max,"WATCH","GOOD")))</f>
        <v/>
      </c>
      <c r="K24" s="15">
        <f>IF(OR($A24="",B24=""),"",IF(B24="Max hangs",COUNTIFS('Hang sets'!$N$3:$N$202,P24),COUNTIFS('Curl sets'!$P$3:$P$202,P24)))</f>
        <v/>
      </c>
      <c r="L24" s="14">
        <f>IF(OR(B24&lt;&gt;"Max hangs",N(K24)=0),"",_xlfn.MAXIFS('Hang sets'!$G$3:$G$202,'Hang sets'!$N$3:$N$202,P24))</f>
        <v/>
      </c>
      <c r="M24" s="14">
        <f>IF(OR(B24&lt;&gt;"Finger curls",N(K24)=0),"",_xlfn.MAXIFS('Curl sets'!$L$3:$L$202,'Curl sets'!$P$3:$P$202,P24))</f>
        <v/>
      </c>
      <c r="N24" s="14">
        <f>IF(OR(B24&lt;&gt;"Finger curls",N(K24)=0),"",_xlfn.MAXIFS('Curl sets'!$M$3:$M$202,'Curl sets'!$P$3:$P$202,P24))</f>
        <v/>
      </c>
      <c r="O24" s="14">
        <f>IF(COUNT(M24,N24)&lt;2,"",ROUND(100*(M24-N24)/MAX(M24,N24),1))</f>
        <v/>
      </c>
      <c r="P24" s="15">
        <f>IF(OR($A24="",B24=""),"",$A24*10+IF(B24="Max hangs",1,2))</f>
        <v/>
      </c>
    </row>
    <row r="25">
      <c r="A25" s="11" t="n"/>
      <c r="C25" s="12" t="n"/>
      <c r="H25" s="13" t="n"/>
      <c r="I25" s="14">
        <f>IF(COUNT(D25:F25)=0,"",ROUND(11-AVERAGE(D25:F25),1))</f>
        <v/>
      </c>
      <c r="J25" s="14">
        <f>IF(COUNT(D25:F25)=0,"",IF(11-MAX(D25:F25)&lt;=low_max,"LOW",IF(11-MAX(D25:F25)&lt;=watch_max,"WATCH","GOOD")))</f>
        <v/>
      </c>
      <c r="K25" s="15">
        <f>IF(OR($A25="",B25=""),"",IF(B25="Max hangs",COUNTIFS('Hang sets'!$N$3:$N$202,P25),COUNTIFS('Curl sets'!$P$3:$P$202,P25)))</f>
        <v/>
      </c>
      <c r="L25" s="14">
        <f>IF(OR(B25&lt;&gt;"Max hangs",N(K25)=0),"",_xlfn.MAXIFS('Hang sets'!$G$3:$G$202,'Hang sets'!$N$3:$N$202,P25))</f>
        <v/>
      </c>
      <c r="M25" s="14">
        <f>IF(OR(B25&lt;&gt;"Finger curls",N(K25)=0),"",_xlfn.MAXIFS('Curl sets'!$L$3:$L$202,'Curl sets'!$P$3:$P$202,P25))</f>
        <v/>
      </c>
      <c r="N25" s="14">
        <f>IF(OR(B25&lt;&gt;"Finger curls",N(K25)=0),"",_xlfn.MAXIFS('Curl sets'!$M$3:$M$202,'Curl sets'!$P$3:$P$202,P25))</f>
        <v/>
      </c>
      <c r="O25" s="14">
        <f>IF(COUNT(M25,N25)&lt;2,"",ROUND(100*(M25-N25)/MAX(M25,N25),1))</f>
        <v/>
      </c>
      <c r="P25" s="15">
        <f>IF(OR($A25="",B25=""),"",$A25*10+IF(B25="Max hangs",1,2))</f>
        <v/>
      </c>
    </row>
    <row r="26">
      <c r="A26" s="11" t="n"/>
      <c r="C26" s="12" t="n"/>
      <c r="H26" s="13" t="n"/>
      <c r="I26" s="14">
        <f>IF(COUNT(D26:F26)=0,"",ROUND(11-AVERAGE(D26:F26),1))</f>
        <v/>
      </c>
      <c r="J26" s="14">
        <f>IF(COUNT(D26:F26)=0,"",IF(11-MAX(D26:F26)&lt;=low_max,"LOW",IF(11-MAX(D26:F26)&lt;=watch_max,"WATCH","GOOD")))</f>
        <v/>
      </c>
      <c r="K26" s="15">
        <f>IF(OR($A26="",B26=""),"",IF(B26="Max hangs",COUNTIFS('Hang sets'!$N$3:$N$202,P26),COUNTIFS('Curl sets'!$P$3:$P$202,P26)))</f>
        <v/>
      </c>
      <c r="L26" s="14">
        <f>IF(OR(B26&lt;&gt;"Max hangs",N(K26)=0),"",_xlfn.MAXIFS('Hang sets'!$G$3:$G$202,'Hang sets'!$N$3:$N$202,P26))</f>
        <v/>
      </c>
      <c r="M26" s="14">
        <f>IF(OR(B26&lt;&gt;"Finger curls",N(K26)=0),"",_xlfn.MAXIFS('Curl sets'!$L$3:$L$202,'Curl sets'!$P$3:$P$202,P26))</f>
        <v/>
      </c>
      <c r="N26" s="14">
        <f>IF(OR(B26&lt;&gt;"Finger curls",N(K26)=0),"",_xlfn.MAXIFS('Curl sets'!$M$3:$M$202,'Curl sets'!$P$3:$P$202,P26))</f>
        <v/>
      </c>
      <c r="O26" s="14">
        <f>IF(COUNT(M26,N26)&lt;2,"",ROUND(100*(M26-N26)/MAX(M26,N26),1))</f>
        <v/>
      </c>
      <c r="P26" s="15">
        <f>IF(OR($A26="",B26=""),"",$A26*10+IF(B26="Max hangs",1,2))</f>
        <v/>
      </c>
    </row>
    <row r="27">
      <c r="A27" s="11" t="n"/>
      <c r="C27" s="12" t="n"/>
      <c r="H27" s="13" t="n"/>
      <c r="I27" s="14">
        <f>IF(COUNT(D27:F27)=0,"",ROUND(11-AVERAGE(D27:F27),1))</f>
        <v/>
      </c>
      <c r="J27" s="14">
        <f>IF(COUNT(D27:F27)=0,"",IF(11-MAX(D27:F27)&lt;=low_max,"LOW",IF(11-MAX(D27:F27)&lt;=watch_max,"WATCH","GOOD")))</f>
        <v/>
      </c>
      <c r="K27" s="15">
        <f>IF(OR($A27="",B27=""),"",IF(B27="Max hangs",COUNTIFS('Hang sets'!$N$3:$N$202,P27),COUNTIFS('Curl sets'!$P$3:$P$202,P27)))</f>
        <v/>
      </c>
      <c r="L27" s="14">
        <f>IF(OR(B27&lt;&gt;"Max hangs",N(K27)=0),"",_xlfn.MAXIFS('Hang sets'!$G$3:$G$202,'Hang sets'!$N$3:$N$202,P27))</f>
        <v/>
      </c>
      <c r="M27" s="14">
        <f>IF(OR(B27&lt;&gt;"Finger curls",N(K27)=0),"",_xlfn.MAXIFS('Curl sets'!$L$3:$L$202,'Curl sets'!$P$3:$P$202,P27))</f>
        <v/>
      </c>
      <c r="N27" s="14">
        <f>IF(OR(B27&lt;&gt;"Finger curls",N(K27)=0),"",_xlfn.MAXIFS('Curl sets'!$M$3:$M$202,'Curl sets'!$P$3:$P$202,P27))</f>
        <v/>
      </c>
      <c r="O27" s="14">
        <f>IF(COUNT(M27,N27)&lt;2,"",ROUND(100*(M27-N27)/MAX(M27,N27),1))</f>
        <v/>
      </c>
      <c r="P27" s="15">
        <f>IF(OR($A27="",B27=""),"",$A27*10+IF(B27="Max hangs",1,2))</f>
        <v/>
      </c>
    </row>
    <row r="28">
      <c r="A28" s="11" t="n"/>
      <c r="C28" s="12" t="n"/>
      <c r="H28" s="13" t="n"/>
      <c r="I28" s="14">
        <f>IF(COUNT(D28:F28)=0,"",ROUND(11-AVERAGE(D28:F28),1))</f>
        <v/>
      </c>
      <c r="J28" s="14">
        <f>IF(COUNT(D28:F28)=0,"",IF(11-MAX(D28:F28)&lt;=low_max,"LOW",IF(11-MAX(D28:F28)&lt;=watch_max,"WATCH","GOOD")))</f>
        <v/>
      </c>
      <c r="K28" s="15">
        <f>IF(OR($A28="",B28=""),"",IF(B28="Max hangs",COUNTIFS('Hang sets'!$N$3:$N$202,P28),COUNTIFS('Curl sets'!$P$3:$P$202,P28)))</f>
        <v/>
      </c>
      <c r="L28" s="14">
        <f>IF(OR(B28&lt;&gt;"Max hangs",N(K28)=0),"",_xlfn.MAXIFS('Hang sets'!$G$3:$G$202,'Hang sets'!$N$3:$N$202,P28))</f>
        <v/>
      </c>
      <c r="M28" s="14">
        <f>IF(OR(B28&lt;&gt;"Finger curls",N(K28)=0),"",_xlfn.MAXIFS('Curl sets'!$L$3:$L$202,'Curl sets'!$P$3:$P$202,P28))</f>
        <v/>
      </c>
      <c r="N28" s="14">
        <f>IF(OR(B28&lt;&gt;"Finger curls",N(K28)=0),"",_xlfn.MAXIFS('Curl sets'!$M$3:$M$202,'Curl sets'!$P$3:$P$202,P28))</f>
        <v/>
      </c>
      <c r="O28" s="14">
        <f>IF(COUNT(M28,N28)&lt;2,"",ROUND(100*(M28-N28)/MAX(M28,N28),1))</f>
        <v/>
      </c>
      <c r="P28" s="15">
        <f>IF(OR($A28="",B28=""),"",$A28*10+IF(B28="Max hangs",1,2))</f>
        <v/>
      </c>
    </row>
    <row r="29">
      <c r="A29" s="11" t="n"/>
      <c r="C29" s="12" t="n"/>
      <c r="H29" s="13" t="n"/>
      <c r="I29" s="14">
        <f>IF(COUNT(D29:F29)=0,"",ROUND(11-AVERAGE(D29:F29),1))</f>
        <v/>
      </c>
      <c r="J29" s="14">
        <f>IF(COUNT(D29:F29)=0,"",IF(11-MAX(D29:F29)&lt;=low_max,"LOW",IF(11-MAX(D29:F29)&lt;=watch_max,"WATCH","GOOD")))</f>
        <v/>
      </c>
      <c r="K29" s="15">
        <f>IF(OR($A29="",B29=""),"",IF(B29="Max hangs",COUNTIFS('Hang sets'!$N$3:$N$202,P29),COUNTIFS('Curl sets'!$P$3:$P$202,P29)))</f>
        <v/>
      </c>
      <c r="L29" s="14">
        <f>IF(OR(B29&lt;&gt;"Max hangs",N(K29)=0),"",_xlfn.MAXIFS('Hang sets'!$G$3:$G$202,'Hang sets'!$N$3:$N$202,P29))</f>
        <v/>
      </c>
      <c r="M29" s="14">
        <f>IF(OR(B29&lt;&gt;"Finger curls",N(K29)=0),"",_xlfn.MAXIFS('Curl sets'!$L$3:$L$202,'Curl sets'!$P$3:$P$202,P29))</f>
        <v/>
      </c>
      <c r="N29" s="14">
        <f>IF(OR(B29&lt;&gt;"Finger curls",N(K29)=0),"",_xlfn.MAXIFS('Curl sets'!$M$3:$M$202,'Curl sets'!$P$3:$P$202,P29))</f>
        <v/>
      </c>
      <c r="O29" s="14">
        <f>IF(COUNT(M29,N29)&lt;2,"",ROUND(100*(M29-N29)/MAX(M29,N29),1))</f>
        <v/>
      </c>
      <c r="P29" s="15">
        <f>IF(OR($A29="",B29=""),"",$A29*10+IF(B29="Max hangs",1,2))</f>
        <v/>
      </c>
    </row>
    <row r="30">
      <c r="A30" s="11" t="n"/>
      <c r="C30" s="12" t="n"/>
      <c r="H30" s="13" t="n"/>
      <c r="I30" s="14">
        <f>IF(COUNT(D30:F30)=0,"",ROUND(11-AVERAGE(D30:F30),1))</f>
        <v/>
      </c>
      <c r="J30" s="14">
        <f>IF(COUNT(D30:F30)=0,"",IF(11-MAX(D30:F30)&lt;=low_max,"LOW",IF(11-MAX(D30:F30)&lt;=watch_max,"WATCH","GOOD")))</f>
        <v/>
      </c>
      <c r="K30" s="15">
        <f>IF(OR($A30="",B30=""),"",IF(B30="Max hangs",COUNTIFS('Hang sets'!$N$3:$N$202,P30),COUNTIFS('Curl sets'!$P$3:$P$202,P30)))</f>
        <v/>
      </c>
      <c r="L30" s="14">
        <f>IF(OR(B30&lt;&gt;"Max hangs",N(K30)=0),"",_xlfn.MAXIFS('Hang sets'!$G$3:$G$202,'Hang sets'!$N$3:$N$202,P30))</f>
        <v/>
      </c>
      <c r="M30" s="14">
        <f>IF(OR(B30&lt;&gt;"Finger curls",N(K30)=0),"",_xlfn.MAXIFS('Curl sets'!$L$3:$L$202,'Curl sets'!$P$3:$P$202,P30))</f>
        <v/>
      </c>
      <c r="N30" s="14">
        <f>IF(OR(B30&lt;&gt;"Finger curls",N(K30)=0),"",_xlfn.MAXIFS('Curl sets'!$M$3:$M$202,'Curl sets'!$P$3:$P$202,P30))</f>
        <v/>
      </c>
      <c r="O30" s="14">
        <f>IF(COUNT(M30,N30)&lt;2,"",ROUND(100*(M30-N30)/MAX(M30,N30),1))</f>
        <v/>
      </c>
      <c r="P30" s="15">
        <f>IF(OR($A30="",B30=""),"",$A30*10+IF(B30="Max hangs",1,2))</f>
        <v/>
      </c>
    </row>
    <row r="31">
      <c r="A31" s="11" t="n"/>
      <c r="C31" s="12" t="n"/>
      <c r="H31" s="13" t="n"/>
      <c r="I31" s="14">
        <f>IF(COUNT(D31:F31)=0,"",ROUND(11-AVERAGE(D31:F31),1))</f>
        <v/>
      </c>
      <c r="J31" s="14">
        <f>IF(COUNT(D31:F31)=0,"",IF(11-MAX(D31:F31)&lt;=low_max,"LOW",IF(11-MAX(D31:F31)&lt;=watch_max,"WATCH","GOOD")))</f>
        <v/>
      </c>
      <c r="K31" s="15">
        <f>IF(OR($A31="",B31=""),"",IF(B31="Max hangs",COUNTIFS('Hang sets'!$N$3:$N$202,P31),COUNTIFS('Curl sets'!$P$3:$P$202,P31)))</f>
        <v/>
      </c>
      <c r="L31" s="14">
        <f>IF(OR(B31&lt;&gt;"Max hangs",N(K31)=0),"",_xlfn.MAXIFS('Hang sets'!$G$3:$G$202,'Hang sets'!$N$3:$N$202,P31))</f>
        <v/>
      </c>
      <c r="M31" s="14">
        <f>IF(OR(B31&lt;&gt;"Finger curls",N(K31)=0),"",_xlfn.MAXIFS('Curl sets'!$L$3:$L$202,'Curl sets'!$P$3:$P$202,P31))</f>
        <v/>
      </c>
      <c r="N31" s="14">
        <f>IF(OR(B31&lt;&gt;"Finger curls",N(K31)=0),"",_xlfn.MAXIFS('Curl sets'!$M$3:$M$202,'Curl sets'!$P$3:$P$202,P31))</f>
        <v/>
      </c>
      <c r="O31" s="14">
        <f>IF(COUNT(M31,N31)&lt;2,"",ROUND(100*(M31-N31)/MAX(M31,N31),1))</f>
        <v/>
      </c>
      <c r="P31" s="15">
        <f>IF(OR($A31="",B31=""),"",$A31*10+IF(B31="Max hangs",1,2))</f>
        <v/>
      </c>
    </row>
    <row r="32">
      <c r="A32" s="11" t="n"/>
      <c r="C32" s="12" t="n"/>
      <c r="H32" s="13" t="n"/>
      <c r="I32" s="14">
        <f>IF(COUNT(D32:F32)=0,"",ROUND(11-AVERAGE(D32:F32),1))</f>
        <v/>
      </c>
      <c r="J32" s="14">
        <f>IF(COUNT(D32:F32)=0,"",IF(11-MAX(D32:F32)&lt;=low_max,"LOW",IF(11-MAX(D32:F32)&lt;=watch_max,"WATCH","GOOD")))</f>
        <v/>
      </c>
      <c r="K32" s="15">
        <f>IF(OR($A32="",B32=""),"",IF(B32="Max hangs",COUNTIFS('Hang sets'!$N$3:$N$202,P32),COUNTIFS('Curl sets'!$P$3:$P$202,P32)))</f>
        <v/>
      </c>
      <c r="L32" s="14">
        <f>IF(OR(B32&lt;&gt;"Max hangs",N(K32)=0),"",_xlfn.MAXIFS('Hang sets'!$G$3:$G$202,'Hang sets'!$N$3:$N$202,P32))</f>
        <v/>
      </c>
      <c r="M32" s="14">
        <f>IF(OR(B32&lt;&gt;"Finger curls",N(K32)=0),"",_xlfn.MAXIFS('Curl sets'!$L$3:$L$202,'Curl sets'!$P$3:$P$202,P32))</f>
        <v/>
      </c>
      <c r="N32" s="14">
        <f>IF(OR(B32&lt;&gt;"Finger curls",N(K32)=0),"",_xlfn.MAXIFS('Curl sets'!$M$3:$M$202,'Curl sets'!$P$3:$P$202,P32))</f>
        <v/>
      </c>
      <c r="O32" s="14">
        <f>IF(COUNT(M32,N32)&lt;2,"",ROUND(100*(M32-N32)/MAX(M32,N32),1))</f>
        <v/>
      </c>
      <c r="P32" s="15">
        <f>IF(OR($A32="",B32=""),"",$A32*10+IF(B32="Max hangs",1,2))</f>
        <v/>
      </c>
    </row>
    <row r="33">
      <c r="A33" s="11" t="n"/>
      <c r="C33" s="12" t="n"/>
      <c r="H33" s="13" t="n"/>
      <c r="I33" s="14">
        <f>IF(COUNT(D33:F33)=0,"",ROUND(11-AVERAGE(D33:F33),1))</f>
        <v/>
      </c>
      <c r="J33" s="14">
        <f>IF(COUNT(D33:F33)=0,"",IF(11-MAX(D33:F33)&lt;=low_max,"LOW",IF(11-MAX(D33:F33)&lt;=watch_max,"WATCH","GOOD")))</f>
        <v/>
      </c>
      <c r="K33" s="15">
        <f>IF(OR($A33="",B33=""),"",IF(B33="Max hangs",COUNTIFS('Hang sets'!$N$3:$N$202,P33),COUNTIFS('Curl sets'!$P$3:$P$202,P33)))</f>
        <v/>
      </c>
      <c r="L33" s="14">
        <f>IF(OR(B33&lt;&gt;"Max hangs",N(K33)=0),"",_xlfn.MAXIFS('Hang sets'!$G$3:$G$202,'Hang sets'!$N$3:$N$202,P33))</f>
        <v/>
      </c>
      <c r="M33" s="14">
        <f>IF(OR(B33&lt;&gt;"Finger curls",N(K33)=0),"",_xlfn.MAXIFS('Curl sets'!$L$3:$L$202,'Curl sets'!$P$3:$P$202,P33))</f>
        <v/>
      </c>
      <c r="N33" s="14">
        <f>IF(OR(B33&lt;&gt;"Finger curls",N(K33)=0),"",_xlfn.MAXIFS('Curl sets'!$M$3:$M$202,'Curl sets'!$P$3:$P$202,P33))</f>
        <v/>
      </c>
      <c r="O33" s="14">
        <f>IF(COUNT(M33,N33)&lt;2,"",ROUND(100*(M33-N33)/MAX(M33,N33),1))</f>
        <v/>
      </c>
      <c r="P33" s="15">
        <f>IF(OR($A33="",B33=""),"",$A33*10+IF(B33="Max hangs",1,2))</f>
        <v/>
      </c>
    </row>
    <row r="34">
      <c r="A34" s="11" t="n"/>
      <c r="C34" s="12" t="n"/>
      <c r="H34" s="13" t="n"/>
      <c r="I34" s="14">
        <f>IF(COUNT(D34:F34)=0,"",ROUND(11-AVERAGE(D34:F34),1))</f>
        <v/>
      </c>
      <c r="J34" s="14">
        <f>IF(COUNT(D34:F34)=0,"",IF(11-MAX(D34:F34)&lt;=low_max,"LOW",IF(11-MAX(D34:F34)&lt;=watch_max,"WATCH","GOOD")))</f>
        <v/>
      </c>
      <c r="K34" s="15">
        <f>IF(OR($A34="",B34=""),"",IF(B34="Max hangs",COUNTIFS('Hang sets'!$N$3:$N$202,P34),COUNTIFS('Curl sets'!$P$3:$P$202,P34)))</f>
        <v/>
      </c>
      <c r="L34" s="14">
        <f>IF(OR(B34&lt;&gt;"Max hangs",N(K34)=0),"",_xlfn.MAXIFS('Hang sets'!$G$3:$G$202,'Hang sets'!$N$3:$N$202,P34))</f>
        <v/>
      </c>
      <c r="M34" s="14">
        <f>IF(OR(B34&lt;&gt;"Finger curls",N(K34)=0),"",_xlfn.MAXIFS('Curl sets'!$L$3:$L$202,'Curl sets'!$P$3:$P$202,P34))</f>
        <v/>
      </c>
      <c r="N34" s="14">
        <f>IF(OR(B34&lt;&gt;"Finger curls",N(K34)=0),"",_xlfn.MAXIFS('Curl sets'!$M$3:$M$202,'Curl sets'!$P$3:$P$202,P34))</f>
        <v/>
      </c>
      <c r="O34" s="14">
        <f>IF(COUNT(M34,N34)&lt;2,"",ROUND(100*(M34-N34)/MAX(M34,N34),1))</f>
        <v/>
      </c>
      <c r="P34" s="15">
        <f>IF(OR($A34="",B34=""),"",$A34*10+IF(B34="Max hangs",1,2))</f>
        <v/>
      </c>
    </row>
    <row r="35">
      <c r="A35" s="11" t="n"/>
      <c r="C35" s="12" t="n"/>
      <c r="H35" s="13" t="n"/>
      <c r="I35" s="14">
        <f>IF(COUNT(D35:F35)=0,"",ROUND(11-AVERAGE(D35:F35),1))</f>
        <v/>
      </c>
      <c r="J35" s="14">
        <f>IF(COUNT(D35:F35)=0,"",IF(11-MAX(D35:F35)&lt;=low_max,"LOW",IF(11-MAX(D35:F35)&lt;=watch_max,"WATCH","GOOD")))</f>
        <v/>
      </c>
      <c r="K35" s="15">
        <f>IF(OR($A35="",B35=""),"",IF(B35="Max hangs",COUNTIFS('Hang sets'!$N$3:$N$202,P35),COUNTIFS('Curl sets'!$P$3:$P$202,P35)))</f>
        <v/>
      </c>
      <c r="L35" s="14">
        <f>IF(OR(B35&lt;&gt;"Max hangs",N(K35)=0),"",_xlfn.MAXIFS('Hang sets'!$G$3:$G$202,'Hang sets'!$N$3:$N$202,P35))</f>
        <v/>
      </c>
      <c r="M35" s="14">
        <f>IF(OR(B35&lt;&gt;"Finger curls",N(K35)=0),"",_xlfn.MAXIFS('Curl sets'!$L$3:$L$202,'Curl sets'!$P$3:$P$202,P35))</f>
        <v/>
      </c>
      <c r="N35" s="14">
        <f>IF(OR(B35&lt;&gt;"Finger curls",N(K35)=0),"",_xlfn.MAXIFS('Curl sets'!$M$3:$M$202,'Curl sets'!$P$3:$P$202,P35))</f>
        <v/>
      </c>
      <c r="O35" s="14">
        <f>IF(COUNT(M35,N35)&lt;2,"",ROUND(100*(M35-N35)/MAX(M35,N35),1))</f>
        <v/>
      </c>
      <c r="P35" s="15">
        <f>IF(OR($A35="",B35=""),"",$A35*10+IF(B35="Max hangs",1,2))</f>
        <v/>
      </c>
    </row>
    <row r="36">
      <c r="A36" s="11" t="n"/>
      <c r="C36" s="12" t="n"/>
      <c r="H36" s="13" t="n"/>
      <c r="I36" s="14">
        <f>IF(COUNT(D36:F36)=0,"",ROUND(11-AVERAGE(D36:F36),1))</f>
        <v/>
      </c>
      <c r="J36" s="14">
        <f>IF(COUNT(D36:F36)=0,"",IF(11-MAX(D36:F36)&lt;=low_max,"LOW",IF(11-MAX(D36:F36)&lt;=watch_max,"WATCH","GOOD")))</f>
        <v/>
      </c>
      <c r="K36" s="15">
        <f>IF(OR($A36="",B36=""),"",IF(B36="Max hangs",COUNTIFS('Hang sets'!$N$3:$N$202,P36),COUNTIFS('Curl sets'!$P$3:$P$202,P36)))</f>
        <v/>
      </c>
      <c r="L36" s="14">
        <f>IF(OR(B36&lt;&gt;"Max hangs",N(K36)=0),"",_xlfn.MAXIFS('Hang sets'!$G$3:$G$202,'Hang sets'!$N$3:$N$202,P36))</f>
        <v/>
      </c>
      <c r="M36" s="14">
        <f>IF(OR(B36&lt;&gt;"Finger curls",N(K36)=0),"",_xlfn.MAXIFS('Curl sets'!$L$3:$L$202,'Curl sets'!$P$3:$P$202,P36))</f>
        <v/>
      </c>
      <c r="N36" s="14">
        <f>IF(OR(B36&lt;&gt;"Finger curls",N(K36)=0),"",_xlfn.MAXIFS('Curl sets'!$M$3:$M$202,'Curl sets'!$P$3:$P$202,P36))</f>
        <v/>
      </c>
      <c r="O36" s="14">
        <f>IF(COUNT(M36,N36)&lt;2,"",ROUND(100*(M36-N36)/MAX(M36,N36),1))</f>
        <v/>
      </c>
      <c r="P36" s="15">
        <f>IF(OR($A36="",B36=""),"",$A36*10+IF(B36="Max hangs",1,2))</f>
        <v/>
      </c>
    </row>
    <row r="37">
      <c r="A37" s="11" t="n"/>
      <c r="C37" s="12" t="n"/>
      <c r="H37" s="13" t="n"/>
      <c r="I37" s="14">
        <f>IF(COUNT(D37:F37)=0,"",ROUND(11-AVERAGE(D37:F37),1))</f>
        <v/>
      </c>
      <c r="J37" s="14">
        <f>IF(COUNT(D37:F37)=0,"",IF(11-MAX(D37:F37)&lt;=low_max,"LOW",IF(11-MAX(D37:F37)&lt;=watch_max,"WATCH","GOOD")))</f>
        <v/>
      </c>
      <c r="K37" s="15">
        <f>IF(OR($A37="",B37=""),"",IF(B37="Max hangs",COUNTIFS('Hang sets'!$N$3:$N$202,P37),COUNTIFS('Curl sets'!$P$3:$P$202,P37)))</f>
        <v/>
      </c>
      <c r="L37" s="14">
        <f>IF(OR(B37&lt;&gt;"Max hangs",N(K37)=0),"",_xlfn.MAXIFS('Hang sets'!$G$3:$G$202,'Hang sets'!$N$3:$N$202,P37))</f>
        <v/>
      </c>
      <c r="M37" s="14">
        <f>IF(OR(B37&lt;&gt;"Finger curls",N(K37)=0),"",_xlfn.MAXIFS('Curl sets'!$L$3:$L$202,'Curl sets'!$P$3:$P$202,P37))</f>
        <v/>
      </c>
      <c r="N37" s="14">
        <f>IF(OR(B37&lt;&gt;"Finger curls",N(K37)=0),"",_xlfn.MAXIFS('Curl sets'!$M$3:$M$202,'Curl sets'!$P$3:$P$202,P37))</f>
        <v/>
      </c>
      <c r="O37" s="14">
        <f>IF(COUNT(M37,N37)&lt;2,"",ROUND(100*(M37-N37)/MAX(M37,N37),1))</f>
        <v/>
      </c>
      <c r="P37" s="15">
        <f>IF(OR($A37="",B37=""),"",$A37*10+IF(B37="Max hangs",1,2))</f>
        <v/>
      </c>
    </row>
    <row r="38">
      <c r="A38" s="11" t="n"/>
      <c r="C38" s="12" t="n"/>
      <c r="H38" s="13" t="n"/>
      <c r="I38" s="14">
        <f>IF(COUNT(D38:F38)=0,"",ROUND(11-AVERAGE(D38:F38),1))</f>
        <v/>
      </c>
      <c r="J38" s="14">
        <f>IF(COUNT(D38:F38)=0,"",IF(11-MAX(D38:F38)&lt;=low_max,"LOW",IF(11-MAX(D38:F38)&lt;=watch_max,"WATCH","GOOD")))</f>
        <v/>
      </c>
      <c r="K38" s="15">
        <f>IF(OR($A38="",B38=""),"",IF(B38="Max hangs",COUNTIFS('Hang sets'!$N$3:$N$202,P38),COUNTIFS('Curl sets'!$P$3:$P$202,P38)))</f>
        <v/>
      </c>
      <c r="L38" s="14">
        <f>IF(OR(B38&lt;&gt;"Max hangs",N(K38)=0),"",_xlfn.MAXIFS('Hang sets'!$G$3:$G$202,'Hang sets'!$N$3:$N$202,P38))</f>
        <v/>
      </c>
      <c r="M38" s="14">
        <f>IF(OR(B38&lt;&gt;"Finger curls",N(K38)=0),"",_xlfn.MAXIFS('Curl sets'!$L$3:$L$202,'Curl sets'!$P$3:$P$202,P38))</f>
        <v/>
      </c>
      <c r="N38" s="14">
        <f>IF(OR(B38&lt;&gt;"Finger curls",N(K38)=0),"",_xlfn.MAXIFS('Curl sets'!$M$3:$M$202,'Curl sets'!$P$3:$P$202,P38))</f>
        <v/>
      </c>
      <c r="O38" s="14">
        <f>IF(COUNT(M38,N38)&lt;2,"",ROUND(100*(M38-N38)/MAX(M38,N38),1))</f>
        <v/>
      </c>
      <c r="P38" s="15">
        <f>IF(OR($A38="",B38=""),"",$A38*10+IF(B38="Max hangs",1,2))</f>
        <v/>
      </c>
    </row>
    <row r="39">
      <c r="A39" s="11" t="n"/>
      <c r="C39" s="12" t="n"/>
      <c r="H39" s="13" t="n"/>
      <c r="I39" s="14">
        <f>IF(COUNT(D39:F39)=0,"",ROUND(11-AVERAGE(D39:F39),1))</f>
        <v/>
      </c>
      <c r="J39" s="14">
        <f>IF(COUNT(D39:F39)=0,"",IF(11-MAX(D39:F39)&lt;=low_max,"LOW",IF(11-MAX(D39:F39)&lt;=watch_max,"WATCH","GOOD")))</f>
        <v/>
      </c>
      <c r="K39" s="15">
        <f>IF(OR($A39="",B39=""),"",IF(B39="Max hangs",COUNTIFS('Hang sets'!$N$3:$N$202,P39),COUNTIFS('Curl sets'!$P$3:$P$202,P39)))</f>
        <v/>
      </c>
      <c r="L39" s="14">
        <f>IF(OR(B39&lt;&gt;"Max hangs",N(K39)=0),"",_xlfn.MAXIFS('Hang sets'!$G$3:$G$202,'Hang sets'!$N$3:$N$202,P39))</f>
        <v/>
      </c>
      <c r="M39" s="14">
        <f>IF(OR(B39&lt;&gt;"Finger curls",N(K39)=0),"",_xlfn.MAXIFS('Curl sets'!$L$3:$L$202,'Curl sets'!$P$3:$P$202,P39))</f>
        <v/>
      </c>
      <c r="N39" s="14">
        <f>IF(OR(B39&lt;&gt;"Finger curls",N(K39)=0),"",_xlfn.MAXIFS('Curl sets'!$M$3:$M$202,'Curl sets'!$P$3:$P$202,P39))</f>
        <v/>
      </c>
      <c r="O39" s="14">
        <f>IF(COUNT(M39,N39)&lt;2,"",ROUND(100*(M39-N39)/MAX(M39,N39),1))</f>
        <v/>
      </c>
      <c r="P39" s="15">
        <f>IF(OR($A39="",B39=""),"",$A39*10+IF(B39="Max hangs",1,2))</f>
        <v/>
      </c>
    </row>
    <row r="40">
      <c r="A40" s="11" t="n"/>
      <c r="C40" s="12" t="n"/>
      <c r="H40" s="13" t="n"/>
      <c r="I40" s="14">
        <f>IF(COUNT(D40:F40)=0,"",ROUND(11-AVERAGE(D40:F40),1))</f>
        <v/>
      </c>
      <c r="J40" s="14">
        <f>IF(COUNT(D40:F40)=0,"",IF(11-MAX(D40:F40)&lt;=low_max,"LOW",IF(11-MAX(D40:F40)&lt;=watch_max,"WATCH","GOOD")))</f>
        <v/>
      </c>
      <c r="K40" s="15">
        <f>IF(OR($A40="",B40=""),"",IF(B40="Max hangs",COUNTIFS('Hang sets'!$N$3:$N$202,P40),COUNTIFS('Curl sets'!$P$3:$P$202,P40)))</f>
        <v/>
      </c>
      <c r="L40" s="14">
        <f>IF(OR(B40&lt;&gt;"Max hangs",N(K40)=0),"",_xlfn.MAXIFS('Hang sets'!$G$3:$G$202,'Hang sets'!$N$3:$N$202,P40))</f>
        <v/>
      </c>
      <c r="M40" s="14">
        <f>IF(OR(B40&lt;&gt;"Finger curls",N(K40)=0),"",_xlfn.MAXIFS('Curl sets'!$L$3:$L$202,'Curl sets'!$P$3:$P$202,P40))</f>
        <v/>
      </c>
      <c r="N40" s="14">
        <f>IF(OR(B40&lt;&gt;"Finger curls",N(K40)=0),"",_xlfn.MAXIFS('Curl sets'!$M$3:$M$202,'Curl sets'!$P$3:$P$202,P40))</f>
        <v/>
      </c>
      <c r="O40" s="14">
        <f>IF(COUNT(M40,N40)&lt;2,"",ROUND(100*(M40-N40)/MAX(M40,N40),1))</f>
        <v/>
      </c>
      <c r="P40" s="15">
        <f>IF(OR($A40="",B40=""),"",$A40*10+IF(B40="Max hangs",1,2))</f>
        <v/>
      </c>
    </row>
    <row r="41">
      <c r="A41" s="11" t="n"/>
      <c r="C41" s="12" t="n"/>
      <c r="H41" s="13" t="n"/>
      <c r="I41" s="14">
        <f>IF(COUNT(D41:F41)=0,"",ROUND(11-AVERAGE(D41:F41),1))</f>
        <v/>
      </c>
      <c r="J41" s="14">
        <f>IF(COUNT(D41:F41)=0,"",IF(11-MAX(D41:F41)&lt;=low_max,"LOW",IF(11-MAX(D41:F41)&lt;=watch_max,"WATCH","GOOD")))</f>
        <v/>
      </c>
      <c r="K41" s="15">
        <f>IF(OR($A41="",B41=""),"",IF(B41="Max hangs",COUNTIFS('Hang sets'!$N$3:$N$202,P41),COUNTIFS('Curl sets'!$P$3:$P$202,P41)))</f>
        <v/>
      </c>
      <c r="L41" s="14">
        <f>IF(OR(B41&lt;&gt;"Max hangs",N(K41)=0),"",_xlfn.MAXIFS('Hang sets'!$G$3:$G$202,'Hang sets'!$N$3:$N$202,P41))</f>
        <v/>
      </c>
      <c r="M41" s="14">
        <f>IF(OR(B41&lt;&gt;"Finger curls",N(K41)=0),"",_xlfn.MAXIFS('Curl sets'!$L$3:$L$202,'Curl sets'!$P$3:$P$202,P41))</f>
        <v/>
      </c>
      <c r="N41" s="14">
        <f>IF(OR(B41&lt;&gt;"Finger curls",N(K41)=0),"",_xlfn.MAXIFS('Curl sets'!$M$3:$M$202,'Curl sets'!$P$3:$P$202,P41))</f>
        <v/>
      </c>
      <c r="O41" s="14">
        <f>IF(COUNT(M41,N41)&lt;2,"",ROUND(100*(M41-N41)/MAX(M41,N41),1))</f>
        <v/>
      </c>
      <c r="P41" s="15">
        <f>IF(OR($A41="",B41=""),"",$A41*10+IF(B41="Max hangs",1,2))</f>
        <v/>
      </c>
    </row>
    <row r="42">
      <c r="A42" s="11" t="n"/>
      <c r="C42" s="12" t="n"/>
      <c r="H42" s="13" t="n"/>
      <c r="I42" s="14">
        <f>IF(COUNT(D42:F42)=0,"",ROUND(11-AVERAGE(D42:F42),1))</f>
        <v/>
      </c>
      <c r="J42" s="14">
        <f>IF(COUNT(D42:F42)=0,"",IF(11-MAX(D42:F42)&lt;=low_max,"LOW",IF(11-MAX(D42:F42)&lt;=watch_max,"WATCH","GOOD")))</f>
        <v/>
      </c>
      <c r="K42" s="15">
        <f>IF(OR($A42="",B42=""),"",IF(B42="Max hangs",COUNTIFS('Hang sets'!$N$3:$N$202,P42),COUNTIFS('Curl sets'!$P$3:$P$202,P42)))</f>
        <v/>
      </c>
      <c r="L42" s="14">
        <f>IF(OR(B42&lt;&gt;"Max hangs",N(K42)=0),"",_xlfn.MAXIFS('Hang sets'!$G$3:$G$202,'Hang sets'!$N$3:$N$202,P42))</f>
        <v/>
      </c>
      <c r="M42" s="14">
        <f>IF(OR(B42&lt;&gt;"Finger curls",N(K42)=0),"",_xlfn.MAXIFS('Curl sets'!$L$3:$L$202,'Curl sets'!$P$3:$P$202,P42))</f>
        <v/>
      </c>
      <c r="N42" s="14">
        <f>IF(OR(B42&lt;&gt;"Finger curls",N(K42)=0),"",_xlfn.MAXIFS('Curl sets'!$M$3:$M$202,'Curl sets'!$P$3:$P$202,P42))</f>
        <v/>
      </c>
      <c r="O42" s="14">
        <f>IF(COUNT(M42,N42)&lt;2,"",ROUND(100*(M42-N42)/MAX(M42,N42),1))</f>
        <v/>
      </c>
      <c r="P42" s="15">
        <f>IF(OR($A42="",B42=""),"",$A42*10+IF(B42="Max hangs",1,2))</f>
        <v/>
      </c>
    </row>
    <row r="43">
      <c r="A43" s="11" t="n"/>
      <c r="C43" s="12" t="n"/>
      <c r="H43" s="13" t="n"/>
      <c r="I43" s="14">
        <f>IF(COUNT(D43:F43)=0,"",ROUND(11-AVERAGE(D43:F43),1))</f>
        <v/>
      </c>
      <c r="J43" s="14">
        <f>IF(COUNT(D43:F43)=0,"",IF(11-MAX(D43:F43)&lt;=low_max,"LOW",IF(11-MAX(D43:F43)&lt;=watch_max,"WATCH","GOOD")))</f>
        <v/>
      </c>
      <c r="K43" s="15">
        <f>IF(OR($A43="",B43=""),"",IF(B43="Max hangs",COUNTIFS('Hang sets'!$N$3:$N$202,P43),COUNTIFS('Curl sets'!$P$3:$P$202,P43)))</f>
        <v/>
      </c>
      <c r="L43" s="14">
        <f>IF(OR(B43&lt;&gt;"Max hangs",N(K43)=0),"",_xlfn.MAXIFS('Hang sets'!$G$3:$G$202,'Hang sets'!$N$3:$N$202,P43))</f>
        <v/>
      </c>
      <c r="M43" s="14">
        <f>IF(OR(B43&lt;&gt;"Finger curls",N(K43)=0),"",_xlfn.MAXIFS('Curl sets'!$L$3:$L$202,'Curl sets'!$P$3:$P$202,P43))</f>
        <v/>
      </c>
      <c r="N43" s="14">
        <f>IF(OR(B43&lt;&gt;"Finger curls",N(K43)=0),"",_xlfn.MAXIFS('Curl sets'!$M$3:$M$202,'Curl sets'!$P$3:$P$202,P43))</f>
        <v/>
      </c>
      <c r="O43" s="14">
        <f>IF(COUNT(M43,N43)&lt;2,"",ROUND(100*(M43-N43)/MAX(M43,N43),1))</f>
        <v/>
      </c>
      <c r="P43" s="15">
        <f>IF(OR($A43="",B43=""),"",$A43*10+IF(B43="Max hangs",1,2))</f>
        <v/>
      </c>
    </row>
    <row r="44">
      <c r="A44" s="11" t="n"/>
      <c r="C44" s="12" t="n"/>
      <c r="H44" s="13" t="n"/>
      <c r="I44" s="14">
        <f>IF(COUNT(D44:F44)=0,"",ROUND(11-AVERAGE(D44:F44),1))</f>
        <v/>
      </c>
      <c r="J44" s="14">
        <f>IF(COUNT(D44:F44)=0,"",IF(11-MAX(D44:F44)&lt;=low_max,"LOW",IF(11-MAX(D44:F44)&lt;=watch_max,"WATCH","GOOD")))</f>
        <v/>
      </c>
      <c r="K44" s="15">
        <f>IF(OR($A44="",B44=""),"",IF(B44="Max hangs",COUNTIFS('Hang sets'!$N$3:$N$202,P44),COUNTIFS('Curl sets'!$P$3:$P$202,P44)))</f>
        <v/>
      </c>
      <c r="L44" s="14">
        <f>IF(OR(B44&lt;&gt;"Max hangs",N(K44)=0),"",_xlfn.MAXIFS('Hang sets'!$G$3:$G$202,'Hang sets'!$N$3:$N$202,P44))</f>
        <v/>
      </c>
      <c r="M44" s="14">
        <f>IF(OR(B44&lt;&gt;"Finger curls",N(K44)=0),"",_xlfn.MAXIFS('Curl sets'!$L$3:$L$202,'Curl sets'!$P$3:$P$202,P44))</f>
        <v/>
      </c>
      <c r="N44" s="14">
        <f>IF(OR(B44&lt;&gt;"Finger curls",N(K44)=0),"",_xlfn.MAXIFS('Curl sets'!$M$3:$M$202,'Curl sets'!$P$3:$P$202,P44))</f>
        <v/>
      </c>
      <c r="O44" s="14">
        <f>IF(COUNT(M44,N44)&lt;2,"",ROUND(100*(M44-N44)/MAX(M44,N44),1))</f>
        <v/>
      </c>
      <c r="P44" s="15">
        <f>IF(OR($A44="",B44=""),"",$A44*10+IF(B44="Max hangs",1,2))</f>
        <v/>
      </c>
    </row>
    <row r="45">
      <c r="A45" s="11" t="n"/>
      <c r="C45" s="12" t="n"/>
      <c r="H45" s="13" t="n"/>
      <c r="I45" s="14">
        <f>IF(COUNT(D45:F45)=0,"",ROUND(11-AVERAGE(D45:F45),1))</f>
        <v/>
      </c>
      <c r="J45" s="14">
        <f>IF(COUNT(D45:F45)=0,"",IF(11-MAX(D45:F45)&lt;=low_max,"LOW",IF(11-MAX(D45:F45)&lt;=watch_max,"WATCH","GOOD")))</f>
        <v/>
      </c>
      <c r="K45" s="15">
        <f>IF(OR($A45="",B45=""),"",IF(B45="Max hangs",COUNTIFS('Hang sets'!$N$3:$N$202,P45),COUNTIFS('Curl sets'!$P$3:$P$202,P45)))</f>
        <v/>
      </c>
      <c r="L45" s="14">
        <f>IF(OR(B45&lt;&gt;"Max hangs",N(K45)=0),"",_xlfn.MAXIFS('Hang sets'!$G$3:$G$202,'Hang sets'!$N$3:$N$202,P45))</f>
        <v/>
      </c>
      <c r="M45" s="14">
        <f>IF(OR(B45&lt;&gt;"Finger curls",N(K45)=0),"",_xlfn.MAXIFS('Curl sets'!$L$3:$L$202,'Curl sets'!$P$3:$P$202,P45))</f>
        <v/>
      </c>
      <c r="N45" s="14">
        <f>IF(OR(B45&lt;&gt;"Finger curls",N(K45)=0),"",_xlfn.MAXIFS('Curl sets'!$M$3:$M$202,'Curl sets'!$P$3:$P$202,P45))</f>
        <v/>
      </c>
      <c r="O45" s="14">
        <f>IF(COUNT(M45,N45)&lt;2,"",ROUND(100*(M45-N45)/MAX(M45,N45),1))</f>
        <v/>
      </c>
      <c r="P45" s="15">
        <f>IF(OR($A45="",B45=""),"",$A45*10+IF(B45="Max hangs",1,2))</f>
        <v/>
      </c>
    </row>
    <row r="46">
      <c r="A46" s="11" t="n"/>
      <c r="C46" s="12" t="n"/>
      <c r="H46" s="13" t="n"/>
      <c r="I46" s="14">
        <f>IF(COUNT(D46:F46)=0,"",ROUND(11-AVERAGE(D46:F46),1))</f>
        <v/>
      </c>
      <c r="J46" s="14">
        <f>IF(COUNT(D46:F46)=0,"",IF(11-MAX(D46:F46)&lt;=low_max,"LOW",IF(11-MAX(D46:F46)&lt;=watch_max,"WATCH","GOOD")))</f>
        <v/>
      </c>
      <c r="K46" s="15">
        <f>IF(OR($A46="",B46=""),"",IF(B46="Max hangs",COUNTIFS('Hang sets'!$N$3:$N$202,P46),COUNTIFS('Curl sets'!$P$3:$P$202,P46)))</f>
        <v/>
      </c>
      <c r="L46" s="14">
        <f>IF(OR(B46&lt;&gt;"Max hangs",N(K46)=0),"",_xlfn.MAXIFS('Hang sets'!$G$3:$G$202,'Hang sets'!$N$3:$N$202,P46))</f>
        <v/>
      </c>
      <c r="M46" s="14">
        <f>IF(OR(B46&lt;&gt;"Finger curls",N(K46)=0),"",_xlfn.MAXIFS('Curl sets'!$L$3:$L$202,'Curl sets'!$P$3:$P$202,P46))</f>
        <v/>
      </c>
      <c r="N46" s="14">
        <f>IF(OR(B46&lt;&gt;"Finger curls",N(K46)=0),"",_xlfn.MAXIFS('Curl sets'!$M$3:$M$202,'Curl sets'!$P$3:$P$202,P46))</f>
        <v/>
      </c>
      <c r="O46" s="14">
        <f>IF(COUNT(M46,N46)&lt;2,"",ROUND(100*(M46-N46)/MAX(M46,N46),1))</f>
        <v/>
      </c>
      <c r="P46" s="15">
        <f>IF(OR($A46="",B46=""),"",$A46*10+IF(B46="Max hangs",1,2))</f>
        <v/>
      </c>
    </row>
    <row r="47">
      <c r="A47" s="11" t="n"/>
      <c r="C47" s="12" t="n"/>
      <c r="H47" s="13" t="n"/>
      <c r="I47" s="14">
        <f>IF(COUNT(D47:F47)=0,"",ROUND(11-AVERAGE(D47:F47),1))</f>
        <v/>
      </c>
      <c r="J47" s="14">
        <f>IF(COUNT(D47:F47)=0,"",IF(11-MAX(D47:F47)&lt;=low_max,"LOW",IF(11-MAX(D47:F47)&lt;=watch_max,"WATCH","GOOD")))</f>
        <v/>
      </c>
      <c r="K47" s="15">
        <f>IF(OR($A47="",B47=""),"",IF(B47="Max hangs",COUNTIFS('Hang sets'!$N$3:$N$202,P47),COUNTIFS('Curl sets'!$P$3:$P$202,P47)))</f>
        <v/>
      </c>
      <c r="L47" s="14">
        <f>IF(OR(B47&lt;&gt;"Max hangs",N(K47)=0),"",_xlfn.MAXIFS('Hang sets'!$G$3:$G$202,'Hang sets'!$N$3:$N$202,P47))</f>
        <v/>
      </c>
      <c r="M47" s="14">
        <f>IF(OR(B47&lt;&gt;"Finger curls",N(K47)=0),"",_xlfn.MAXIFS('Curl sets'!$L$3:$L$202,'Curl sets'!$P$3:$P$202,P47))</f>
        <v/>
      </c>
      <c r="N47" s="14">
        <f>IF(OR(B47&lt;&gt;"Finger curls",N(K47)=0),"",_xlfn.MAXIFS('Curl sets'!$M$3:$M$202,'Curl sets'!$P$3:$P$202,P47))</f>
        <v/>
      </c>
      <c r="O47" s="14">
        <f>IF(COUNT(M47,N47)&lt;2,"",ROUND(100*(M47-N47)/MAX(M47,N47),1))</f>
        <v/>
      </c>
      <c r="P47" s="15">
        <f>IF(OR($A47="",B47=""),"",$A47*10+IF(B47="Max hangs",1,2))</f>
        <v/>
      </c>
    </row>
    <row r="48">
      <c r="A48" s="11" t="n"/>
      <c r="C48" s="12" t="n"/>
      <c r="H48" s="13" t="n"/>
      <c r="I48" s="14">
        <f>IF(COUNT(D48:F48)=0,"",ROUND(11-AVERAGE(D48:F48),1))</f>
        <v/>
      </c>
      <c r="J48" s="14">
        <f>IF(COUNT(D48:F48)=0,"",IF(11-MAX(D48:F48)&lt;=low_max,"LOW",IF(11-MAX(D48:F48)&lt;=watch_max,"WATCH","GOOD")))</f>
        <v/>
      </c>
      <c r="K48" s="15">
        <f>IF(OR($A48="",B48=""),"",IF(B48="Max hangs",COUNTIFS('Hang sets'!$N$3:$N$202,P48),COUNTIFS('Curl sets'!$P$3:$P$202,P48)))</f>
        <v/>
      </c>
      <c r="L48" s="14">
        <f>IF(OR(B48&lt;&gt;"Max hangs",N(K48)=0),"",_xlfn.MAXIFS('Hang sets'!$G$3:$G$202,'Hang sets'!$N$3:$N$202,P48))</f>
        <v/>
      </c>
      <c r="M48" s="14">
        <f>IF(OR(B48&lt;&gt;"Finger curls",N(K48)=0),"",_xlfn.MAXIFS('Curl sets'!$L$3:$L$202,'Curl sets'!$P$3:$P$202,P48))</f>
        <v/>
      </c>
      <c r="N48" s="14">
        <f>IF(OR(B48&lt;&gt;"Finger curls",N(K48)=0),"",_xlfn.MAXIFS('Curl sets'!$M$3:$M$202,'Curl sets'!$P$3:$P$202,P48))</f>
        <v/>
      </c>
      <c r="O48" s="14">
        <f>IF(COUNT(M48,N48)&lt;2,"",ROUND(100*(M48-N48)/MAX(M48,N48),1))</f>
        <v/>
      </c>
      <c r="P48" s="15">
        <f>IF(OR($A48="",B48=""),"",$A48*10+IF(B48="Max hangs",1,2))</f>
        <v/>
      </c>
    </row>
    <row r="49">
      <c r="A49" s="11" t="n"/>
      <c r="C49" s="12" t="n"/>
      <c r="H49" s="13" t="n"/>
      <c r="I49" s="14">
        <f>IF(COUNT(D49:F49)=0,"",ROUND(11-AVERAGE(D49:F49),1))</f>
        <v/>
      </c>
      <c r="J49" s="14">
        <f>IF(COUNT(D49:F49)=0,"",IF(11-MAX(D49:F49)&lt;=low_max,"LOW",IF(11-MAX(D49:F49)&lt;=watch_max,"WATCH","GOOD")))</f>
        <v/>
      </c>
      <c r="K49" s="15">
        <f>IF(OR($A49="",B49=""),"",IF(B49="Max hangs",COUNTIFS('Hang sets'!$N$3:$N$202,P49),COUNTIFS('Curl sets'!$P$3:$P$202,P49)))</f>
        <v/>
      </c>
      <c r="L49" s="14">
        <f>IF(OR(B49&lt;&gt;"Max hangs",N(K49)=0),"",_xlfn.MAXIFS('Hang sets'!$G$3:$G$202,'Hang sets'!$N$3:$N$202,P49))</f>
        <v/>
      </c>
      <c r="M49" s="14">
        <f>IF(OR(B49&lt;&gt;"Finger curls",N(K49)=0),"",_xlfn.MAXIFS('Curl sets'!$L$3:$L$202,'Curl sets'!$P$3:$P$202,P49))</f>
        <v/>
      </c>
      <c r="N49" s="14">
        <f>IF(OR(B49&lt;&gt;"Finger curls",N(K49)=0),"",_xlfn.MAXIFS('Curl sets'!$M$3:$M$202,'Curl sets'!$P$3:$P$202,P49))</f>
        <v/>
      </c>
      <c r="O49" s="14">
        <f>IF(COUNT(M49,N49)&lt;2,"",ROUND(100*(M49-N49)/MAX(M49,N49),1))</f>
        <v/>
      </c>
      <c r="P49" s="15">
        <f>IF(OR($A49="",B49=""),"",$A49*10+IF(B49="Max hangs",1,2))</f>
        <v/>
      </c>
    </row>
    <row r="50">
      <c r="A50" s="11" t="n"/>
      <c r="C50" s="12" t="n"/>
      <c r="H50" s="13" t="n"/>
      <c r="I50" s="14">
        <f>IF(COUNT(D50:F50)=0,"",ROUND(11-AVERAGE(D50:F50),1))</f>
        <v/>
      </c>
      <c r="J50" s="14">
        <f>IF(COUNT(D50:F50)=0,"",IF(11-MAX(D50:F50)&lt;=low_max,"LOW",IF(11-MAX(D50:F50)&lt;=watch_max,"WATCH","GOOD")))</f>
        <v/>
      </c>
      <c r="K50" s="15">
        <f>IF(OR($A50="",B50=""),"",IF(B50="Max hangs",COUNTIFS('Hang sets'!$N$3:$N$202,P50),COUNTIFS('Curl sets'!$P$3:$P$202,P50)))</f>
        <v/>
      </c>
      <c r="L50" s="14">
        <f>IF(OR(B50&lt;&gt;"Max hangs",N(K50)=0),"",_xlfn.MAXIFS('Hang sets'!$G$3:$G$202,'Hang sets'!$N$3:$N$202,P50))</f>
        <v/>
      </c>
      <c r="M50" s="14">
        <f>IF(OR(B50&lt;&gt;"Finger curls",N(K50)=0),"",_xlfn.MAXIFS('Curl sets'!$L$3:$L$202,'Curl sets'!$P$3:$P$202,P50))</f>
        <v/>
      </c>
      <c r="N50" s="14">
        <f>IF(OR(B50&lt;&gt;"Finger curls",N(K50)=0),"",_xlfn.MAXIFS('Curl sets'!$M$3:$M$202,'Curl sets'!$P$3:$P$202,P50))</f>
        <v/>
      </c>
      <c r="O50" s="14">
        <f>IF(COUNT(M50,N50)&lt;2,"",ROUND(100*(M50-N50)/MAX(M50,N50),1))</f>
        <v/>
      </c>
      <c r="P50" s="15">
        <f>IF(OR($A50="",B50=""),"",$A50*10+IF(B50="Max hangs",1,2))</f>
        <v/>
      </c>
    </row>
    <row r="51">
      <c r="A51" s="11" t="n"/>
      <c r="C51" s="12" t="n"/>
      <c r="H51" s="13" t="n"/>
      <c r="I51" s="14">
        <f>IF(COUNT(D51:F51)=0,"",ROUND(11-AVERAGE(D51:F51),1))</f>
        <v/>
      </c>
      <c r="J51" s="14">
        <f>IF(COUNT(D51:F51)=0,"",IF(11-MAX(D51:F51)&lt;=low_max,"LOW",IF(11-MAX(D51:F51)&lt;=watch_max,"WATCH","GOOD")))</f>
        <v/>
      </c>
      <c r="K51" s="15">
        <f>IF(OR($A51="",B51=""),"",IF(B51="Max hangs",COUNTIFS('Hang sets'!$N$3:$N$202,P51),COUNTIFS('Curl sets'!$P$3:$P$202,P51)))</f>
        <v/>
      </c>
      <c r="L51" s="14">
        <f>IF(OR(B51&lt;&gt;"Max hangs",N(K51)=0),"",_xlfn.MAXIFS('Hang sets'!$G$3:$G$202,'Hang sets'!$N$3:$N$202,P51))</f>
        <v/>
      </c>
      <c r="M51" s="14">
        <f>IF(OR(B51&lt;&gt;"Finger curls",N(K51)=0),"",_xlfn.MAXIFS('Curl sets'!$L$3:$L$202,'Curl sets'!$P$3:$P$202,P51))</f>
        <v/>
      </c>
      <c r="N51" s="14">
        <f>IF(OR(B51&lt;&gt;"Finger curls",N(K51)=0),"",_xlfn.MAXIFS('Curl sets'!$M$3:$M$202,'Curl sets'!$P$3:$P$202,P51))</f>
        <v/>
      </c>
      <c r="O51" s="14">
        <f>IF(COUNT(M51,N51)&lt;2,"",ROUND(100*(M51-N51)/MAX(M51,N51),1))</f>
        <v/>
      </c>
      <c r="P51" s="15">
        <f>IF(OR($A51="",B51=""),"",$A51*10+IF(B51="Max hangs",1,2))</f>
        <v/>
      </c>
    </row>
    <row r="52">
      <c r="A52" s="11" t="n"/>
      <c r="C52" s="12" t="n"/>
      <c r="H52" s="13" t="n"/>
      <c r="I52" s="14">
        <f>IF(COUNT(D52:F52)=0,"",ROUND(11-AVERAGE(D52:F52),1))</f>
        <v/>
      </c>
      <c r="J52" s="14">
        <f>IF(COUNT(D52:F52)=0,"",IF(11-MAX(D52:F52)&lt;=low_max,"LOW",IF(11-MAX(D52:F52)&lt;=watch_max,"WATCH","GOOD")))</f>
        <v/>
      </c>
      <c r="K52" s="15">
        <f>IF(OR($A52="",B52=""),"",IF(B52="Max hangs",COUNTIFS('Hang sets'!$N$3:$N$202,P52),COUNTIFS('Curl sets'!$P$3:$P$202,P52)))</f>
        <v/>
      </c>
      <c r="L52" s="14">
        <f>IF(OR(B52&lt;&gt;"Max hangs",N(K52)=0),"",_xlfn.MAXIFS('Hang sets'!$G$3:$G$202,'Hang sets'!$N$3:$N$202,P52))</f>
        <v/>
      </c>
      <c r="M52" s="14">
        <f>IF(OR(B52&lt;&gt;"Finger curls",N(K52)=0),"",_xlfn.MAXIFS('Curl sets'!$L$3:$L$202,'Curl sets'!$P$3:$P$202,P52))</f>
        <v/>
      </c>
      <c r="N52" s="14">
        <f>IF(OR(B52&lt;&gt;"Finger curls",N(K52)=0),"",_xlfn.MAXIFS('Curl sets'!$M$3:$M$202,'Curl sets'!$P$3:$P$202,P52))</f>
        <v/>
      </c>
      <c r="O52" s="14">
        <f>IF(COUNT(M52,N52)&lt;2,"",ROUND(100*(M52-N52)/MAX(M52,N52),1))</f>
        <v/>
      </c>
      <c r="P52" s="15">
        <f>IF(OR($A52="",B52=""),"",$A52*10+IF(B52="Max hangs",1,2))</f>
        <v/>
      </c>
    </row>
    <row r="53">
      <c r="A53" s="11" t="n"/>
      <c r="C53" s="12" t="n"/>
      <c r="H53" s="13" t="n"/>
      <c r="I53" s="14">
        <f>IF(COUNT(D53:F53)=0,"",ROUND(11-AVERAGE(D53:F53),1))</f>
        <v/>
      </c>
      <c r="J53" s="14">
        <f>IF(COUNT(D53:F53)=0,"",IF(11-MAX(D53:F53)&lt;=low_max,"LOW",IF(11-MAX(D53:F53)&lt;=watch_max,"WATCH","GOOD")))</f>
        <v/>
      </c>
      <c r="K53" s="15">
        <f>IF(OR($A53="",B53=""),"",IF(B53="Max hangs",COUNTIFS('Hang sets'!$N$3:$N$202,P53),COUNTIFS('Curl sets'!$P$3:$P$202,P53)))</f>
        <v/>
      </c>
      <c r="L53" s="14">
        <f>IF(OR(B53&lt;&gt;"Max hangs",N(K53)=0),"",_xlfn.MAXIFS('Hang sets'!$G$3:$G$202,'Hang sets'!$N$3:$N$202,P53))</f>
        <v/>
      </c>
      <c r="M53" s="14">
        <f>IF(OR(B53&lt;&gt;"Finger curls",N(K53)=0),"",_xlfn.MAXIFS('Curl sets'!$L$3:$L$202,'Curl sets'!$P$3:$P$202,P53))</f>
        <v/>
      </c>
      <c r="N53" s="14">
        <f>IF(OR(B53&lt;&gt;"Finger curls",N(K53)=0),"",_xlfn.MAXIFS('Curl sets'!$M$3:$M$202,'Curl sets'!$P$3:$P$202,P53))</f>
        <v/>
      </c>
      <c r="O53" s="14">
        <f>IF(COUNT(M53,N53)&lt;2,"",ROUND(100*(M53-N53)/MAX(M53,N53),1))</f>
        <v/>
      </c>
      <c r="P53" s="15">
        <f>IF(OR($A53="",B53=""),"",$A53*10+IF(B53="Max hangs",1,2))</f>
        <v/>
      </c>
    </row>
    <row r="54">
      <c r="A54" s="11" t="n"/>
      <c r="C54" s="12" t="n"/>
      <c r="H54" s="13" t="n"/>
      <c r="I54" s="14">
        <f>IF(COUNT(D54:F54)=0,"",ROUND(11-AVERAGE(D54:F54),1))</f>
        <v/>
      </c>
      <c r="J54" s="14">
        <f>IF(COUNT(D54:F54)=0,"",IF(11-MAX(D54:F54)&lt;=low_max,"LOW",IF(11-MAX(D54:F54)&lt;=watch_max,"WATCH","GOOD")))</f>
        <v/>
      </c>
      <c r="K54" s="15">
        <f>IF(OR($A54="",B54=""),"",IF(B54="Max hangs",COUNTIFS('Hang sets'!$N$3:$N$202,P54),COUNTIFS('Curl sets'!$P$3:$P$202,P54)))</f>
        <v/>
      </c>
      <c r="L54" s="14">
        <f>IF(OR(B54&lt;&gt;"Max hangs",N(K54)=0),"",_xlfn.MAXIFS('Hang sets'!$G$3:$G$202,'Hang sets'!$N$3:$N$202,P54))</f>
        <v/>
      </c>
      <c r="M54" s="14">
        <f>IF(OR(B54&lt;&gt;"Finger curls",N(K54)=0),"",_xlfn.MAXIFS('Curl sets'!$L$3:$L$202,'Curl sets'!$P$3:$P$202,P54))</f>
        <v/>
      </c>
      <c r="N54" s="14">
        <f>IF(OR(B54&lt;&gt;"Finger curls",N(K54)=0),"",_xlfn.MAXIFS('Curl sets'!$M$3:$M$202,'Curl sets'!$P$3:$P$202,P54))</f>
        <v/>
      </c>
      <c r="O54" s="14">
        <f>IF(COUNT(M54,N54)&lt;2,"",ROUND(100*(M54-N54)/MAX(M54,N54),1))</f>
        <v/>
      </c>
      <c r="P54" s="15">
        <f>IF(OR($A54="",B54=""),"",$A54*10+IF(B54="Max hangs",1,2))</f>
        <v/>
      </c>
    </row>
    <row r="55">
      <c r="A55" s="11" t="n"/>
      <c r="C55" s="12" t="n"/>
      <c r="H55" s="13" t="n"/>
      <c r="I55" s="14">
        <f>IF(COUNT(D55:F55)=0,"",ROUND(11-AVERAGE(D55:F55),1))</f>
        <v/>
      </c>
      <c r="J55" s="14">
        <f>IF(COUNT(D55:F55)=0,"",IF(11-MAX(D55:F55)&lt;=low_max,"LOW",IF(11-MAX(D55:F55)&lt;=watch_max,"WATCH","GOOD")))</f>
        <v/>
      </c>
      <c r="K55" s="15">
        <f>IF(OR($A55="",B55=""),"",IF(B55="Max hangs",COUNTIFS('Hang sets'!$N$3:$N$202,P55),COUNTIFS('Curl sets'!$P$3:$P$202,P55)))</f>
        <v/>
      </c>
      <c r="L55" s="14">
        <f>IF(OR(B55&lt;&gt;"Max hangs",N(K55)=0),"",_xlfn.MAXIFS('Hang sets'!$G$3:$G$202,'Hang sets'!$N$3:$N$202,P55))</f>
        <v/>
      </c>
      <c r="M55" s="14">
        <f>IF(OR(B55&lt;&gt;"Finger curls",N(K55)=0),"",_xlfn.MAXIFS('Curl sets'!$L$3:$L$202,'Curl sets'!$P$3:$P$202,P55))</f>
        <v/>
      </c>
      <c r="N55" s="14">
        <f>IF(OR(B55&lt;&gt;"Finger curls",N(K55)=0),"",_xlfn.MAXIFS('Curl sets'!$M$3:$M$202,'Curl sets'!$P$3:$P$202,P55))</f>
        <v/>
      </c>
      <c r="O55" s="14">
        <f>IF(COUNT(M55,N55)&lt;2,"",ROUND(100*(M55-N55)/MAX(M55,N55),1))</f>
        <v/>
      </c>
      <c r="P55" s="15">
        <f>IF(OR($A55="",B55=""),"",$A55*10+IF(B55="Max hangs",1,2))</f>
        <v/>
      </c>
    </row>
    <row r="56">
      <c r="A56" s="11" t="n"/>
      <c r="C56" s="12" t="n"/>
      <c r="H56" s="13" t="n"/>
      <c r="I56" s="14">
        <f>IF(COUNT(D56:F56)=0,"",ROUND(11-AVERAGE(D56:F56),1))</f>
        <v/>
      </c>
      <c r="J56" s="14">
        <f>IF(COUNT(D56:F56)=0,"",IF(11-MAX(D56:F56)&lt;=low_max,"LOW",IF(11-MAX(D56:F56)&lt;=watch_max,"WATCH","GOOD")))</f>
        <v/>
      </c>
      <c r="K56" s="15">
        <f>IF(OR($A56="",B56=""),"",IF(B56="Max hangs",COUNTIFS('Hang sets'!$N$3:$N$202,P56),COUNTIFS('Curl sets'!$P$3:$P$202,P56)))</f>
        <v/>
      </c>
      <c r="L56" s="14">
        <f>IF(OR(B56&lt;&gt;"Max hangs",N(K56)=0),"",_xlfn.MAXIFS('Hang sets'!$G$3:$G$202,'Hang sets'!$N$3:$N$202,P56))</f>
        <v/>
      </c>
      <c r="M56" s="14">
        <f>IF(OR(B56&lt;&gt;"Finger curls",N(K56)=0),"",_xlfn.MAXIFS('Curl sets'!$L$3:$L$202,'Curl sets'!$P$3:$P$202,P56))</f>
        <v/>
      </c>
      <c r="N56" s="14">
        <f>IF(OR(B56&lt;&gt;"Finger curls",N(K56)=0),"",_xlfn.MAXIFS('Curl sets'!$M$3:$M$202,'Curl sets'!$P$3:$P$202,P56))</f>
        <v/>
      </c>
      <c r="O56" s="14">
        <f>IF(COUNT(M56,N56)&lt;2,"",ROUND(100*(M56-N56)/MAX(M56,N56),1))</f>
        <v/>
      </c>
      <c r="P56" s="15">
        <f>IF(OR($A56="",B56=""),"",$A56*10+IF(B56="Max hangs",1,2))</f>
        <v/>
      </c>
    </row>
    <row r="57">
      <c r="A57" s="11" t="n"/>
      <c r="C57" s="12" t="n"/>
      <c r="H57" s="13" t="n"/>
      <c r="I57" s="14">
        <f>IF(COUNT(D57:F57)=0,"",ROUND(11-AVERAGE(D57:F57),1))</f>
        <v/>
      </c>
      <c r="J57" s="14">
        <f>IF(COUNT(D57:F57)=0,"",IF(11-MAX(D57:F57)&lt;=low_max,"LOW",IF(11-MAX(D57:F57)&lt;=watch_max,"WATCH","GOOD")))</f>
        <v/>
      </c>
      <c r="K57" s="15">
        <f>IF(OR($A57="",B57=""),"",IF(B57="Max hangs",COUNTIFS('Hang sets'!$N$3:$N$202,P57),COUNTIFS('Curl sets'!$P$3:$P$202,P57)))</f>
        <v/>
      </c>
      <c r="L57" s="14">
        <f>IF(OR(B57&lt;&gt;"Max hangs",N(K57)=0),"",_xlfn.MAXIFS('Hang sets'!$G$3:$G$202,'Hang sets'!$N$3:$N$202,P57))</f>
        <v/>
      </c>
      <c r="M57" s="14">
        <f>IF(OR(B57&lt;&gt;"Finger curls",N(K57)=0),"",_xlfn.MAXIFS('Curl sets'!$L$3:$L$202,'Curl sets'!$P$3:$P$202,P57))</f>
        <v/>
      </c>
      <c r="N57" s="14">
        <f>IF(OR(B57&lt;&gt;"Finger curls",N(K57)=0),"",_xlfn.MAXIFS('Curl sets'!$M$3:$M$202,'Curl sets'!$P$3:$P$202,P57))</f>
        <v/>
      </c>
      <c r="O57" s="14">
        <f>IF(COUNT(M57,N57)&lt;2,"",ROUND(100*(M57-N57)/MAX(M57,N57),1))</f>
        <v/>
      </c>
      <c r="P57" s="15">
        <f>IF(OR($A57="",B57=""),"",$A57*10+IF(B57="Max hangs",1,2))</f>
        <v/>
      </c>
    </row>
    <row r="58">
      <c r="A58" s="11" t="n"/>
      <c r="C58" s="12" t="n"/>
      <c r="H58" s="13" t="n"/>
      <c r="I58" s="14">
        <f>IF(COUNT(D58:F58)=0,"",ROUND(11-AVERAGE(D58:F58),1))</f>
        <v/>
      </c>
      <c r="J58" s="14">
        <f>IF(COUNT(D58:F58)=0,"",IF(11-MAX(D58:F58)&lt;=low_max,"LOW",IF(11-MAX(D58:F58)&lt;=watch_max,"WATCH","GOOD")))</f>
        <v/>
      </c>
      <c r="K58" s="15">
        <f>IF(OR($A58="",B58=""),"",IF(B58="Max hangs",COUNTIFS('Hang sets'!$N$3:$N$202,P58),COUNTIFS('Curl sets'!$P$3:$P$202,P58)))</f>
        <v/>
      </c>
      <c r="L58" s="14">
        <f>IF(OR(B58&lt;&gt;"Max hangs",N(K58)=0),"",_xlfn.MAXIFS('Hang sets'!$G$3:$G$202,'Hang sets'!$N$3:$N$202,P58))</f>
        <v/>
      </c>
      <c r="M58" s="14">
        <f>IF(OR(B58&lt;&gt;"Finger curls",N(K58)=0),"",_xlfn.MAXIFS('Curl sets'!$L$3:$L$202,'Curl sets'!$P$3:$P$202,P58))</f>
        <v/>
      </c>
      <c r="N58" s="14">
        <f>IF(OR(B58&lt;&gt;"Finger curls",N(K58)=0),"",_xlfn.MAXIFS('Curl sets'!$M$3:$M$202,'Curl sets'!$P$3:$P$202,P58))</f>
        <v/>
      </c>
      <c r="O58" s="14">
        <f>IF(COUNT(M58,N58)&lt;2,"",ROUND(100*(M58-N58)/MAX(M58,N58),1))</f>
        <v/>
      </c>
      <c r="P58" s="15">
        <f>IF(OR($A58="",B58=""),"",$A58*10+IF(B58="Max hangs",1,2))</f>
        <v/>
      </c>
    </row>
    <row r="59">
      <c r="A59" s="11" t="n"/>
      <c r="C59" s="12" t="n"/>
      <c r="H59" s="13" t="n"/>
      <c r="I59" s="14">
        <f>IF(COUNT(D59:F59)=0,"",ROUND(11-AVERAGE(D59:F59),1))</f>
        <v/>
      </c>
      <c r="J59" s="14">
        <f>IF(COUNT(D59:F59)=0,"",IF(11-MAX(D59:F59)&lt;=low_max,"LOW",IF(11-MAX(D59:F59)&lt;=watch_max,"WATCH","GOOD")))</f>
        <v/>
      </c>
      <c r="K59" s="15">
        <f>IF(OR($A59="",B59=""),"",IF(B59="Max hangs",COUNTIFS('Hang sets'!$N$3:$N$202,P59),COUNTIFS('Curl sets'!$P$3:$P$202,P59)))</f>
        <v/>
      </c>
      <c r="L59" s="14">
        <f>IF(OR(B59&lt;&gt;"Max hangs",N(K59)=0),"",_xlfn.MAXIFS('Hang sets'!$G$3:$G$202,'Hang sets'!$N$3:$N$202,P59))</f>
        <v/>
      </c>
      <c r="M59" s="14">
        <f>IF(OR(B59&lt;&gt;"Finger curls",N(K59)=0),"",_xlfn.MAXIFS('Curl sets'!$L$3:$L$202,'Curl sets'!$P$3:$P$202,P59))</f>
        <v/>
      </c>
      <c r="N59" s="14">
        <f>IF(OR(B59&lt;&gt;"Finger curls",N(K59)=0),"",_xlfn.MAXIFS('Curl sets'!$M$3:$M$202,'Curl sets'!$P$3:$P$202,P59))</f>
        <v/>
      </c>
      <c r="O59" s="14">
        <f>IF(COUNT(M59,N59)&lt;2,"",ROUND(100*(M59-N59)/MAX(M59,N59),1))</f>
        <v/>
      </c>
      <c r="P59" s="15">
        <f>IF(OR($A59="",B59=""),"",$A59*10+IF(B59="Max hangs",1,2))</f>
        <v/>
      </c>
    </row>
    <row r="60">
      <c r="A60" s="11" t="n"/>
      <c r="C60" s="12" t="n"/>
      <c r="H60" s="13" t="n"/>
      <c r="I60" s="14">
        <f>IF(COUNT(D60:F60)=0,"",ROUND(11-AVERAGE(D60:F60),1))</f>
        <v/>
      </c>
      <c r="J60" s="14">
        <f>IF(COUNT(D60:F60)=0,"",IF(11-MAX(D60:F60)&lt;=low_max,"LOW",IF(11-MAX(D60:F60)&lt;=watch_max,"WATCH","GOOD")))</f>
        <v/>
      </c>
      <c r="K60" s="15">
        <f>IF(OR($A60="",B60=""),"",IF(B60="Max hangs",COUNTIFS('Hang sets'!$N$3:$N$202,P60),COUNTIFS('Curl sets'!$P$3:$P$202,P60)))</f>
        <v/>
      </c>
      <c r="L60" s="14">
        <f>IF(OR(B60&lt;&gt;"Max hangs",N(K60)=0),"",_xlfn.MAXIFS('Hang sets'!$G$3:$G$202,'Hang sets'!$N$3:$N$202,P60))</f>
        <v/>
      </c>
      <c r="M60" s="14">
        <f>IF(OR(B60&lt;&gt;"Finger curls",N(K60)=0),"",_xlfn.MAXIFS('Curl sets'!$L$3:$L$202,'Curl sets'!$P$3:$P$202,P60))</f>
        <v/>
      </c>
      <c r="N60" s="14">
        <f>IF(OR(B60&lt;&gt;"Finger curls",N(K60)=0),"",_xlfn.MAXIFS('Curl sets'!$M$3:$M$202,'Curl sets'!$P$3:$P$202,P60))</f>
        <v/>
      </c>
      <c r="O60" s="14">
        <f>IF(COUNT(M60,N60)&lt;2,"",ROUND(100*(M60-N60)/MAX(M60,N60),1))</f>
        <v/>
      </c>
      <c r="P60" s="15">
        <f>IF(OR($A60="",B60=""),"",$A60*10+IF(B60="Max hangs",1,2))</f>
        <v/>
      </c>
    </row>
    <row r="61">
      <c r="A61" s="11" t="n"/>
      <c r="C61" s="12" t="n"/>
      <c r="H61" s="13" t="n"/>
      <c r="I61" s="14">
        <f>IF(COUNT(D61:F61)=0,"",ROUND(11-AVERAGE(D61:F61),1))</f>
        <v/>
      </c>
      <c r="J61" s="14">
        <f>IF(COUNT(D61:F61)=0,"",IF(11-MAX(D61:F61)&lt;=low_max,"LOW",IF(11-MAX(D61:F61)&lt;=watch_max,"WATCH","GOOD")))</f>
        <v/>
      </c>
      <c r="K61" s="15">
        <f>IF(OR($A61="",B61=""),"",IF(B61="Max hangs",COUNTIFS('Hang sets'!$N$3:$N$202,P61),COUNTIFS('Curl sets'!$P$3:$P$202,P61)))</f>
        <v/>
      </c>
      <c r="L61" s="14">
        <f>IF(OR(B61&lt;&gt;"Max hangs",N(K61)=0),"",_xlfn.MAXIFS('Hang sets'!$G$3:$G$202,'Hang sets'!$N$3:$N$202,P61))</f>
        <v/>
      </c>
      <c r="M61" s="14">
        <f>IF(OR(B61&lt;&gt;"Finger curls",N(K61)=0),"",_xlfn.MAXIFS('Curl sets'!$L$3:$L$202,'Curl sets'!$P$3:$P$202,P61))</f>
        <v/>
      </c>
      <c r="N61" s="14">
        <f>IF(OR(B61&lt;&gt;"Finger curls",N(K61)=0),"",_xlfn.MAXIFS('Curl sets'!$M$3:$M$202,'Curl sets'!$P$3:$P$202,P61))</f>
        <v/>
      </c>
      <c r="O61" s="14">
        <f>IF(COUNT(M61,N61)&lt;2,"",ROUND(100*(M61-N61)/MAX(M61,N61),1))</f>
        <v/>
      </c>
      <c r="P61" s="15">
        <f>IF(OR($A61="",B61=""),"",$A61*10+IF(B61="Max hangs",1,2))</f>
        <v/>
      </c>
    </row>
    <row r="62">
      <c r="A62" s="11" t="n"/>
      <c r="C62" s="12" t="n"/>
      <c r="H62" s="13" t="n"/>
      <c r="I62" s="14">
        <f>IF(COUNT(D62:F62)=0,"",ROUND(11-AVERAGE(D62:F62),1))</f>
        <v/>
      </c>
      <c r="J62" s="14">
        <f>IF(COUNT(D62:F62)=0,"",IF(11-MAX(D62:F62)&lt;=low_max,"LOW",IF(11-MAX(D62:F62)&lt;=watch_max,"WATCH","GOOD")))</f>
        <v/>
      </c>
      <c r="K62" s="15">
        <f>IF(OR($A62="",B62=""),"",IF(B62="Max hangs",COUNTIFS('Hang sets'!$N$3:$N$202,P62),COUNTIFS('Curl sets'!$P$3:$P$202,P62)))</f>
        <v/>
      </c>
      <c r="L62" s="14">
        <f>IF(OR(B62&lt;&gt;"Max hangs",N(K62)=0),"",_xlfn.MAXIFS('Hang sets'!$G$3:$G$202,'Hang sets'!$N$3:$N$202,P62))</f>
        <v/>
      </c>
      <c r="M62" s="14">
        <f>IF(OR(B62&lt;&gt;"Finger curls",N(K62)=0),"",_xlfn.MAXIFS('Curl sets'!$L$3:$L$202,'Curl sets'!$P$3:$P$202,P62))</f>
        <v/>
      </c>
      <c r="N62" s="14">
        <f>IF(OR(B62&lt;&gt;"Finger curls",N(K62)=0),"",_xlfn.MAXIFS('Curl sets'!$M$3:$M$202,'Curl sets'!$P$3:$P$202,P62))</f>
        <v/>
      </c>
      <c r="O62" s="14">
        <f>IF(COUNT(M62,N62)&lt;2,"",ROUND(100*(M62-N62)/MAX(M62,N62),1))</f>
        <v/>
      </c>
      <c r="P62" s="15">
        <f>IF(OR($A62="",B62=""),"",$A62*10+IF(B62="Max hangs",1,2))</f>
        <v/>
      </c>
    </row>
    <row r="63">
      <c r="A63" s="11" t="n"/>
      <c r="C63" s="12" t="n"/>
      <c r="H63" s="13" t="n"/>
      <c r="I63" s="14">
        <f>IF(COUNT(D63:F63)=0,"",ROUND(11-AVERAGE(D63:F63),1))</f>
        <v/>
      </c>
      <c r="J63" s="14">
        <f>IF(COUNT(D63:F63)=0,"",IF(11-MAX(D63:F63)&lt;=low_max,"LOW",IF(11-MAX(D63:F63)&lt;=watch_max,"WATCH","GOOD")))</f>
        <v/>
      </c>
      <c r="K63" s="15">
        <f>IF(OR($A63="",B63=""),"",IF(B63="Max hangs",COUNTIFS('Hang sets'!$N$3:$N$202,P63),COUNTIFS('Curl sets'!$P$3:$P$202,P63)))</f>
        <v/>
      </c>
      <c r="L63" s="14">
        <f>IF(OR(B63&lt;&gt;"Max hangs",N(K63)=0),"",_xlfn.MAXIFS('Hang sets'!$G$3:$G$202,'Hang sets'!$N$3:$N$202,P63))</f>
        <v/>
      </c>
      <c r="M63" s="14">
        <f>IF(OR(B63&lt;&gt;"Finger curls",N(K63)=0),"",_xlfn.MAXIFS('Curl sets'!$L$3:$L$202,'Curl sets'!$P$3:$P$202,P63))</f>
        <v/>
      </c>
      <c r="N63" s="14">
        <f>IF(OR(B63&lt;&gt;"Finger curls",N(K63)=0),"",_xlfn.MAXIFS('Curl sets'!$M$3:$M$202,'Curl sets'!$P$3:$P$202,P63))</f>
        <v/>
      </c>
      <c r="O63" s="14">
        <f>IF(COUNT(M63,N63)&lt;2,"",ROUND(100*(M63-N63)/MAX(M63,N63),1))</f>
        <v/>
      </c>
      <c r="P63" s="15">
        <f>IF(OR($A63="",B63=""),"",$A63*10+IF(B63="Max hangs",1,2))</f>
        <v/>
      </c>
    </row>
    <row r="64">
      <c r="A64" s="11" t="n"/>
      <c r="C64" s="12" t="n"/>
      <c r="H64" s="13" t="n"/>
      <c r="I64" s="14">
        <f>IF(COUNT(D64:F64)=0,"",ROUND(11-AVERAGE(D64:F64),1))</f>
        <v/>
      </c>
      <c r="J64" s="14">
        <f>IF(COUNT(D64:F64)=0,"",IF(11-MAX(D64:F64)&lt;=low_max,"LOW",IF(11-MAX(D64:F64)&lt;=watch_max,"WATCH","GOOD")))</f>
        <v/>
      </c>
      <c r="K64" s="15">
        <f>IF(OR($A64="",B64=""),"",IF(B64="Max hangs",COUNTIFS('Hang sets'!$N$3:$N$202,P64),COUNTIFS('Curl sets'!$P$3:$P$202,P64)))</f>
        <v/>
      </c>
      <c r="L64" s="14">
        <f>IF(OR(B64&lt;&gt;"Max hangs",N(K64)=0),"",_xlfn.MAXIFS('Hang sets'!$G$3:$G$202,'Hang sets'!$N$3:$N$202,P64))</f>
        <v/>
      </c>
      <c r="M64" s="14">
        <f>IF(OR(B64&lt;&gt;"Finger curls",N(K64)=0),"",_xlfn.MAXIFS('Curl sets'!$L$3:$L$202,'Curl sets'!$P$3:$P$202,P64))</f>
        <v/>
      </c>
      <c r="N64" s="14">
        <f>IF(OR(B64&lt;&gt;"Finger curls",N(K64)=0),"",_xlfn.MAXIFS('Curl sets'!$M$3:$M$202,'Curl sets'!$P$3:$P$202,P64))</f>
        <v/>
      </c>
      <c r="O64" s="14">
        <f>IF(COUNT(M64,N64)&lt;2,"",ROUND(100*(M64-N64)/MAX(M64,N64),1))</f>
        <v/>
      </c>
      <c r="P64" s="15">
        <f>IF(OR($A64="",B64=""),"",$A64*10+IF(B64="Max hangs",1,2))</f>
        <v/>
      </c>
    </row>
    <row r="65">
      <c r="A65" s="11" t="n"/>
      <c r="C65" s="12" t="n"/>
      <c r="H65" s="13" t="n"/>
      <c r="I65" s="14">
        <f>IF(COUNT(D65:F65)=0,"",ROUND(11-AVERAGE(D65:F65),1))</f>
        <v/>
      </c>
      <c r="J65" s="14">
        <f>IF(COUNT(D65:F65)=0,"",IF(11-MAX(D65:F65)&lt;=low_max,"LOW",IF(11-MAX(D65:F65)&lt;=watch_max,"WATCH","GOOD")))</f>
        <v/>
      </c>
      <c r="K65" s="15">
        <f>IF(OR($A65="",B65=""),"",IF(B65="Max hangs",COUNTIFS('Hang sets'!$N$3:$N$202,P65),COUNTIFS('Curl sets'!$P$3:$P$202,P65)))</f>
        <v/>
      </c>
      <c r="L65" s="14">
        <f>IF(OR(B65&lt;&gt;"Max hangs",N(K65)=0),"",_xlfn.MAXIFS('Hang sets'!$G$3:$G$202,'Hang sets'!$N$3:$N$202,P65))</f>
        <v/>
      </c>
      <c r="M65" s="14">
        <f>IF(OR(B65&lt;&gt;"Finger curls",N(K65)=0),"",_xlfn.MAXIFS('Curl sets'!$L$3:$L$202,'Curl sets'!$P$3:$P$202,P65))</f>
        <v/>
      </c>
      <c r="N65" s="14">
        <f>IF(OR(B65&lt;&gt;"Finger curls",N(K65)=0),"",_xlfn.MAXIFS('Curl sets'!$M$3:$M$202,'Curl sets'!$P$3:$P$202,P65))</f>
        <v/>
      </c>
      <c r="O65" s="14">
        <f>IF(COUNT(M65,N65)&lt;2,"",ROUND(100*(M65-N65)/MAX(M65,N65),1))</f>
        <v/>
      </c>
      <c r="P65" s="15">
        <f>IF(OR($A65="",B65=""),"",$A65*10+IF(B65="Max hangs",1,2))</f>
        <v/>
      </c>
    </row>
    <row r="66">
      <c r="A66" s="11" t="n"/>
      <c r="C66" s="12" t="n"/>
      <c r="H66" s="13" t="n"/>
      <c r="I66" s="14">
        <f>IF(COUNT(D66:F66)=0,"",ROUND(11-AVERAGE(D66:F66),1))</f>
        <v/>
      </c>
      <c r="J66" s="14">
        <f>IF(COUNT(D66:F66)=0,"",IF(11-MAX(D66:F66)&lt;=low_max,"LOW",IF(11-MAX(D66:F66)&lt;=watch_max,"WATCH","GOOD")))</f>
        <v/>
      </c>
      <c r="K66" s="15">
        <f>IF(OR($A66="",B66=""),"",IF(B66="Max hangs",COUNTIFS('Hang sets'!$N$3:$N$202,P66),COUNTIFS('Curl sets'!$P$3:$P$202,P66)))</f>
        <v/>
      </c>
      <c r="L66" s="14">
        <f>IF(OR(B66&lt;&gt;"Max hangs",N(K66)=0),"",_xlfn.MAXIFS('Hang sets'!$G$3:$G$202,'Hang sets'!$N$3:$N$202,P66))</f>
        <v/>
      </c>
      <c r="M66" s="14">
        <f>IF(OR(B66&lt;&gt;"Finger curls",N(K66)=0),"",_xlfn.MAXIFS('Curl sets'!$L$3:$L$202,'Curl sets'!$P$3:$P$202,P66))</f>
        <v/>
      </c>
      <c r="N66" s="14">
        <f>IF(OR(B66&lt;&gt;"Finger curls",N(K66)=0),"",_xlfn.MAXIFS('Curl sets'!$M$3:$M$202,'Curl sets'!$P$3:$P$202,P66))</f>
        <v/>
      </c>
      <c r="O66" s="14">
        <f>IF(COUNT(M66,N66)&lt;2,"",ROUND(100*(M66-N66)/MAX(M66,N66),1))</f>
        <v/>
      </c>
      <c r="P66" s="15">
        <f>IF(OR($A66="",B66=""),"",$A66*10+IF(B66="Max hangs",1,2))</f>
        <v/>
      </c>
    </row>
    <row r="67">
      <c r="A67" s="11" t="n"/>
      <c r="C67" s="12" t="n"/>
      <c r="H67" s="13" t="n"/>
      <c r="I67" s="14">
        <f>IF(COUNT(D67:F67)=0,"",ROUND(11-AVERAGE(D67:F67),1))</f>
        <v/>
      </c>
      <c r="J67" s="14">
        <f>IF(COUNT(D67:F67)=0,"",IF(11-MAX(D67:F67)&lt;=low_max,"LOW",IF(11-MAX(D67:F67)&lt;=watch_max,"WATCH","GOOD")))</f>
        <v/>
      </c>
      <c r="K67" s="15">
        <f>IF(OR($A67="",B67=""),"",IF(B67="Max hangs",COUNTIFS('Hang sets'!$N$3:$N$202,P67),COUNTIFS('Curl sets'!$P$3:$P$202,P67)))</f>
        <v/>
      </c>
      <c r="L67" s="14">
        <f>IF(OR(B67&lt;&gt;"Max hangs",N(K67)=0),"",_xlfn.MAXIFS('Hang sets'!$G$3:$G$202,'Hang sets'!$N$3:$N$202,P67))</f>
        <v/>
      </c>
      <c r="M67" s="14">
        <f>IF(OR(B67&lt;&gt;"Finger curls",N(K67)=0),"",_xlfn.MAXIFS('Curl sets'!$L$3:$L$202,'Curl sets'!$P$3:$P$202,P67))</f>
        <v/>
      </c>
      <c r="N67" s="14">
        <f>IF(OR(B67&lt;&gt;"Finger curls",N(K67)=0),"",_xlfn.MAXIFS('Curl sets'!$M$3:$M$202,'Curl sets'!$P$3:$P$202,P67))</f>
        <v/>
      </c>
      <c r="O67" s="14">
        <f>IF(COUNT(M67,N67)&lt;2,"",ROUND(100*(M67-N67)/MAX(M67,N67),1))</f>
        <v/>
      </c>
      <c r="P67" s="15">
        <f>IF(OR($A67="",B67=""),"",$A67*10+IF(B67="Max hangs",1,2))</f>
        <v/>
      </c>
    </row>
    <row r="68">
      <c r="A68" s="11" t="n"/>
      <c r="C68" s="12" t="n"/>
      <c r="H68" s="13" t="n"/>
      <c r="I68" s="14">
        <f>IF(COUNT(D68:F68)=0,"",ROUND(11-AVERAGE(D68:F68),1))</f>
        <v/>
      </c>
      <c r="J68" s="14">
        <f>IF(COUNT(D68:F68)=0,"",IF(11-MAX(D68:F68)&lt;=low_max,"LOW",IF(11-MAX(D68:F68)&lt;=watch_max,"WATCH","GOOD")))</f>
        <v/>
      </c>
      <c r="K68" s="15">
        <f>IF(OR($A68="",B68=""),"",IF(B68="Max hangs",COUNTIFS('Hang sets'!$N$3:$N$202,P68),COUNTIFS('Curl sets'!$P$3:$P$202,P68)))</f>
        <v/>
      </c>
      <c r="L68" s="14">
        <f>IF(OR(B68&lt;&gt;"Max hangs",N(K68)=0),"",_xlfn.MAXIFS('Hang sets'!$G$3:$G$202,'Hang sets'!$N$3:$N$202,P68))</f>
        <v/>
      </c>
      <c r="M68" s="14">
        <f>IF(OR(B68&lt;&gt;"Finger curls",N(K68)=0),"",_xlfn.MAXIFS('Curl sets'!$L$3:$L$202,'Curl sets'!$P$3:$P$202,P68))</f>
        <v/>
      </c>
      <c r="N68" s="14">
        <f>IF(OR(B68&lt;&gt;"Finger curls",N(K68)=0),"",_xlfn.MAXIFS('Curl sets'!$M$3:$M$202,'Curl sets'!$P$3:$P$202,P68))</f>
        <v/>
      </c>
      <c r="O68" s="14">
        <f>IF(COUNT(M68,N68)&lt;2,"",ROUND(100*(M68-N68)/MAX(M68,N68),1))</f>
        <v/>
      </c>
      <c r="P68" s="15">
        <f>IF(OR($A68="",B68=""),"",$A68*10+IF(B68="Max hangs",1,2))</f>
        <v/>
      </c>
    </row>
    <row r="69">
      <c r="A69" s="11" t="n"/>
      <c r="C69" s="12" t="n"/>
      <c r="H69" s="13" t="n"/>
      <c r="I69" s="14">
        <f>IF(COUNT(D69:F69)=0,"",ROUND(11-AVERAGE(D69:F69),1))</f>
        <v/>
      </c>
      <c r="J69" s="14">
        <f>IF(COUNT(D69:F69)=0,"",IF(11-MAX(D69:F69)&lt;=low_max,"LOW",IF(11-MAX(D69:F69)&lt;=watch_max,"WATCH","GOOD")))</f>
        <v/>
      </c>
      <c r="K69" s="15">
        <f>IF(OR($A69="",B69=""),"",IF(B69="Max hangs",COUNTIFS('Hang sets'!$N$3:$N$202,P69),COUNTIFS('Curl sets'!$P$3:$P$202,P69)))</f>
        <v/>
      </c>
      <c r="L69" s="14">
        <f>IF(OR(B69&lt;&gt;"Max hangs",N(K69)=0),"",_xlfn.MAXIFS('Hang sets'!$G$3:$G$202,'Hang sets'!$N$3:$N$202,P69))</f>
        <v/>
      </c>
      <c r="M69" s="14">
        <f>IF(OR(B69&lt;&gt;"Finger curls",N(K69)=0),"",_xlfn.MAXIFS('Curl sets'!$L$3:$L$202,'Curl sets'!$P$3:$P$202,P69))</f>
        <v/>
      </c>
      <c r="N69" s="14">
        <f>IF(OR(B69&lt;&gt;"Finger curls",N(K69)=0),"",_xlfn.MAXIFS('Curl sets'!$M$3:$M$202,'Curl sets'!$P$3:$P$202,P69))</f>
        <v/>
      </c>
      <c r="O69" s="14">
        <f>IF(COUNT(M69,N69)&lt;2,"",ROUND(100*(M69-N69)/MAX(M69,N69),1))</f>
        <v/>
      </c>
      <c r="P69" s="15">
        <f>IF(OR($A69="",B69=""),"",$A69*10+IF(B69="Max hangs",1,2))</f>
        <v/>
      </c>
    </row>
    <row r="70">
      <c r="A70" s="11" t="n"/>
      <c r="C70" s="12" t="n"/>
      <c r="H70" s="13" t="n"/>
      <c r="I70" s="14">
        <f>IF(COUNT(D70:F70)=0,"",ROUND(11-AVERAGE(D70:F70),1))</f>
        <v/>
      </c>
      <c r="J70" s="14">
        <f>IF(COUNT(D70:F70)=0,"",IF(11-MAX(D70:F70)&lt;=low_max,"LOW",IF(11-MAX(D70:F70)&lt;=watch_max,"WATCH","GOOD")))</f>
        <v/>
      </c>
      <c r="K70" s="15">
        <f>IF(OR($A70="",B70=""),"",IF(B70="Max hangs",COUNTIFS('Hang sets'!$N$3:$N$202,P70),COUNTIFS('Curl sets'!$P$3:$P$202,P70)))</f>
        <v/>
      </c>
      <c r="L70" s="14">
        <f>IF(OR(B70&lt;&gt;"Max hangs",N(K70)=0),"",_xlfn.MAXIFS('Hang sets'!$G$3:$G$202,'Hang sets'!$N$3:$N$202,P70))</f>
        <v/>
      </c>
      <c r="M70" s="14">
        <f>IF(OR(B70&lt;&gt;"Finger curls",N(K70)=0),"",_xlfn.MAXIFS('Curl sets'!$L$3:$L$202,'Curl sets'!$P$3:$P$202,P70))</f>
        <v/>
      </c>
      <c r="N70" s="14">
        <f>IF(OR(B70&lt;&gt;"Finger curls",N(K70)=0),"",_xlfn.MAXIFS('Curl sets'!$M$3:$M$202,'Curl sets'!$P$3:$P$202,P70))</f>
        <v/>
      </c>
      <c r="O70" s="14">
        <f>IF(COUNT(M70,N70)&lt;2,"",ROUND(100*(M70-N70)/MAX(M70,N70),1))</f>
        <v/>
      </c>
      <c r="P70" s="15">
        <f>IF(OR($A70="",B70=""),"",$A70*10+IF(B70="Max hangs",1,2))</f>
        <v/>
      </c>
    </row>
    <row r="71">
      <c r="A71" s="11" t="n"/>
      <c r="C71" s="12" t="n"/>
      <c r="H71" s="13" t="n"/>
      <c r="I71" s="14">
        <f>IF(COUNT(D71:F71)=0,"",ROUND(11-AVERAGE(D71:F71),1))</f>
        <v/>
      </c>
      <c r="J71" s="14">
        <f>IF(COUNT(D71:F71)=0,"",IF(11-MAX(D71:F71)&lt;=low_max,"LOW",IF(11-MAX(D71:F71)&lt;=watch_max,"WATCH","GOOD")))</f>
        <v/>
      </c>
      <c r="K71" s="15">
        <f>IF(OR($A71="",B71=""),"",IF(B71="Max hangs",COUNTIFS('Hang sets'!$N$3:$N$202,P71),COUNTIFS('Curl sets'!$P$3:$P$202,P71)))</f>
        <v/>
      </c>
      <c r="L71" s="14">
        <f>IF(OR(B71&lt;&gt;"Max hangs",N(K71)=0),"",_xlfn.MAXIFS('Hang sets'!$G$3:$G$202,'Hang sets'!$N$3:$N$202,P71))</f>
        <v/>
      </c>
      <c r="M71" s="14">
        <f>IF(OR(B71&lt;&gt;"Finger curls",N(K71)=0),"",_xlfn.MAXIFS('Curl sets'!$L$3:$L$202,'Curl sets'!$P$3:$P$202,P71))</f>
        <v/>
      </c>
      <c r="N71" s="14">
        <f>IF(OR(B71&lt;&gt;"Finger curls",N(K71)=0),"",_xlfn.MAXIFS('Curl sets'!$M$3:$M$202,'Curl sets'!$P$3:$P$202,P71))</f>
        <v/>
      </c>
      <c r="O71" s="14">
        <f>IF(COUNT(M71,N71)&lt;2,"",ROUND(100*(M71-N71)/MAX(M71,N71),1))</f>
        <v/>
      </c>
      <c r="P71" s="15">
        <f>IF(OR($A71="",B71=""),"",$A71*10+IF(B71="Max hangs",1,2))</f>
        <v/>
      </c>
    </row>
    <row r="72">
      <c r="A72" s="11" t="n"/>
      <c r="C72" s="12" t="n"/>
      <c r="H72" s="13" t="n"/>
      <c r="I72" s="14">
        <f>IF(COUNT(D72:F72)=0,"",ROUND(11-AVERAGE(D72:F72),1))</f>
        <v/>
      </c>
      <c r="J72" s="14">
        <f>IF(COUNT(D72:F72)=0,"",IF(11-MAX(D72:F72)&lt;=low_max,"LOW",IF(11-MAX(D72:F72)&lt;=watch_max,"WATCH","GOOD")))</f>
        <v/>
      </c>
      <c r="K72" s="15">
        <f>IF(OR($A72="",B72=""),"",IF(B72="Max hangs",COUNTIFS('Hang sets'!$N$3:$N$202,P72),COUNTIFS('Curl sets'!$P$3:$P$202,P72)))</f>
        <v/>
      </c>
      <c r="L72" s="14">
        <f>IF(OR(B72&lt;&gt;"Max hangs",N(K72)=0),"",_xlfn.MAXIFS('Hang sets'!$G$3:$G$202,'Hang sets'!$N$3:$N$202,P72))</f>
        <v/>
      </c>
      <c r="M72" s="14">
        <f>IF(OR(B72&lt;&gt;"Finger curls",N(K72)=0),"",_xlfn.MAXIFS('Curl sets'!$L$3:$L$202,'Curl sets'!$P$3:$P$202,P72))</f>
        <v/>
      </c>
      <c r="N72" s="14">
        <f>IF(OR(B72&lt;&gt;"Finger curls",N(K72)=0),"",_xlfn.MAXIFS('Curl sets'!$M$3:$M$202,'Curl sets'!$P$3:$P$202,P72))</f>
        <v/>
      </c>
      <c r="O72" s="14">
        <f>IF(COUNT(M72,N72)&lt;2,"",ROUND(100*(M72-N72)/MAX(M72,N72),1))</f>
        <v/>
      </c>
      <c r="P72" s="15">
        <f>IF(OR($A72="",B72=""),"",$A72*10+IF(B72="Max hangs",1,2))</f>
        <v/>
      </c>
    </row>
    <row r="73">
      <c r="A73" s="11" t="n"/>
      <c r="C73" s="12" t="n"/>
      <c r="H73" s="13" t="n"/>
      <c r="I73" s="14">
        <f>IF(COUNT(D73:F73)=0,"",ROUND(11-AVERAGE(D73:F73),1))</f>
        <v/>
      </c>
      <c r="J73" s="14">
        <f>IF(COUNT(D73:F73)=0,"",IF(11-MAX(D73:F73)&lt;=low_max,"LOW",IF(11-MAX(D73:F73)&lt;=watch_max,"WATCH","GOOD")))</f>
        <v/>
      </c>
      <c r="K73" s="15">
        <f>IF(OR($A73="",B73=""),"",IF(B73="Max hangs",COUNTIFS('Hang sets'!$N$3:$N$202,P73),COUNTIFS('Curl sets'!$P$3:$P$202,P73)))</f>
        <v/>
      </c>
      <c r="L73" s="14">
        <f>IF(OR(B73&lt;&gt;"Max hangs",N(K73)=0),"",_xlfn.MAXIFS('Hang sets'!$G$3:$G$202,'Hang sets'!$N$3:$N$202,P73))</f>
        <v/>
      </c>
      <c r="M73" s="14">
        <f>IF(OR(B73&lt;&gt;"Finger curls",N(K73)=0),"",_xlfn.MAXIFS('Curl sets'!$L$3:$L$202,'Curl sets'!$P$3:$P$202,P73))</f>
        <v/>
      </c>
      <c r="N73" s="14">
        <f>IF(OR(B73&lt;&gt;"Finger curls",N(K73)=0),"",_xlfn.MAXIFS('Curl sets'!$M$3:$M$202,'Curl sets'!$P$3:$P$202,P73))</f>
        <v/>
      </c>
      <c r="O73" s="14">
        <f>IF(COUNT(M73,N73)&lt;2,"",ROUND(100*(M73-N73)/MAX(M73,N73),1))</f>
        <v/>
      </c>
      <c r="P73" s="15">
        <f>IF(OR($A73="",B73=""),"",$A73*10+IF(B73="Max hangs",1,2))</f>
        <v/>
      </c>
    </row>
    <row r="74">
      <c r="A74" s="11" t="n"/>
      <c r="C74" s="12" t="n"/>
      <c r="H74" s="13" t="n"/>
      <c r="I74" s="14">
        <f>IF(COUNT(D74:F74)=0,"",ROUND(11-AVERAGE(D74:F74),1))</f>
        <v/>
      </c>
      <c r="J74" s="14">
        <f>IF(COUNT(D74:F74)=0,"",IF(11-MAX(D74:F74)&lt;=low_max,"LOW",IF(11-MAX(D74:F74)&lt;=watch_max,"WATCH","GOOD")))</f>
        <v/>
      </c>
      <c r="K74" s="15">
        <f>IF(OR($A74="",B74=""),"",IF(B74="Max hangs",COUNTIFS('Hang sets'!$N$3:$N$202,P74),COUNTIFS('Curl sets'!$P$3:$P$202,P74)))</f>
        <v/>
      </c>
      <c r="L74" s="14">
        <f>IF(OR(B74&lt;&gt;"Max hangs",N(K74)=0),"",_xlfn.MAXIFS('Hang sets'!$G$3:$G$202,'Hang sets'!$N$3:$N$202,P74))</f>
        <v/>
      </c>
      <c r="M74" s="14">
        <f>IF(OR(B74&lt;&gt;"Finger curls",N(K74)=0),"",_xlfn.MAXIFS('Curl sets'!$L$3:$L$202,'Curl sets'!$P$3:$P$202,P74))</f>
        <v/>
      </c>
      <c r="N74" s="14">
        <f>IF(OR(B74&lt;&gt;"Finger curls",N(K74)=0),"",_xlfn.MAXIFS('Curl sets'!$M$3:$M$202,'Curl sets'!$P$3:$P$202,P74))</f>
        <v/>
      </c>
      <c r="O74" s="14">
        <f>IF(COUNT(M74,N74)&lt;2,"",ROUND(100*(M74-N74)/MAX(M74,N74),1))</f>
        <v/>
      </c>
      <c r="P74" s="15">
        <f>IF(OR($A74="",B74=""),"",$A74*10+IF(B74="Max hangs",1,2))</f>
        <v/>
      </c>
    </row>
    <row r="75">
      <c r="A75" s="11" t="n"/>
      <c r="C75" s="12" t="n"/>
      <c r="H75" s="13" t="n"/>
      <c r="I75" s="14">
        <f>IF(COUNT(D75:F75)=0,"",ROUND(11-AVERAGE(D75:F75),1))</f>
        <v/>
      </c>
      <c r="J75" s="14">
        <f>IF(COUNT(D75:F75)=0,"",IF(11-MAX(D75:F75)&lt;=low_max,"LOW",IF(11-MAX(D75:F75)&lt;=watch_max,"WATCH","GOOD")))</f>
        <v/>
      </c>
      <c r="K75" s="15">
        <f>IF(OR($A75="",B75=""),"",IF(B75="Max hangs",COUNTIFS('Hang sets'!$N$3:$N$202,P75),COUNTIFS('Curl sets'!$P$3:$P$202,P75)))</f>
        <v/>
      </c>
      <c r="L75" s="14">
        <f>IF(OR(B75&lt;&gt;"Max hangs",N(K75)=0),"",_xlfn.MAXIFS('Hang sets'!$G$3:$G$202,'Hang sets'!$N$3:$N$202,P75))</f>
        <v/>
      </c>
      <c r="M75" s="14">
        <f>IF(OR(B75&lt;&gt;"Finger curls",N(K75)=0),"",_xlfn.MAXIFS('Curl sets'!$L$3:$L$202,'Curl sets'!$P$3:$P$202,P75))</f>
        <v/>
      </c>
      <c r="N75" s="14">
        <f>IF(OR(B75&lt;&gt;"Finger curls",N(K75)=0),"",_xlfn.MAXIFS('Curl sets'!$M$3:$M$202,'Curl sets'!$P$3:$P$202,P75))</f>
        <v/>
      </c>
      <c r="O75" s="14">
        <f>IF(COUNT(M75,N75)&lt;2,"",ROUND(100*(M75-N75)/MAX(M75,N75),1))</f>
        <v/>
      </c>
      <c r="P75" s="15">
        <f>IF(OR($A75="",B75=""),"",$A75*10+IF(B75="Max hangs",1,2))</f>
        <v/>
      </c>
    </row>
    <row r="76">
      <c r="A76" s="11" t="n"/>
      <c r="C76" s="12" t="n"/>
      <c r="H76" s="13" t="n"/>
      <c r="I76" s="14">
        <f>IF(COUNT(D76:F76)=0,"",ROUND(11-AVERAGE(D76:F76),1))</f>
        <v/>
      </c>
      <c r="J76" s="14">
        <f>IF(COUNT(D76:F76)=0,"",IF(11-MAX(D76:F76)&lt;=low_max,"LOW",IF(11-MAX(D76:F76)&lt;=watch_max,"WATCH","GOOD")))</f>
        <v/>
      </c>
      <c r="K76" s="15">
        <f>IF(OR($A76="",B76=""),"",IF(B76="Max hangs",COUNTIFS('Hang sets'!$N$3:$N$202,P76),COUNTIFS('Curl sets'!$P$3:$P$202,P76)))</f>
        <v/>
      </c>
      <c r="L76" s="14">
        <f>IF(OR(B76&lt;&gt;"Max hangs",N(K76)=0),"",_xlfn.MAXIFS('Hang sets'!$G$3:$G$202,'Hang sets'!$N$3:$N$202,P76))</f>
        <v/>
      </c>
      <c r="M76" s="14">
        <f>IF(OR(B76&lt;&gt;"Finger curls",N(K76)=0),"",_xlfn.MAXIFS('Curl sets'!$L$3:$L$202,'Curl sets'!$P$3:$P$202,P76))</f>
        <v/>
      </c>
      <c r="N76" s="14">
        <f>IF(OR(B76&lt;&gt;"Finger curls",N(K76)=0),"",_xlfn.MAXIFS('Curl sets'!$M$3:$M$202,'Curl sets'!$P$3:$P$202,P76))</f>
        <v/>
      </c>
      <c r="O76" s="14">
        <f>IF(COUNT(M76,N76)&lt;2,"",ROUND(100*(M76-N76)/MAX(M76,N76),1))</f>
        <v/>
      </c>
      <c r="P76" s="15">
        <f>IF(OR($A76="",B76=""),"",$A76*10+IF(B76="Max hangs",1,2))</f>
        <v/>
      </c>
    </row>
    <row r="77">
      <c r="A77" s="11" t="n"/>
      <c r="C77" s="12" t="n"/>
      <c r="H77" s="13" t="n"/>
      <c r="I77" s="14">
        <f>IF(COUNT(D77:F77)=0,"",ROUND(11-AVERAGE(D77:F77),1))</f>
        <v/>
      </c>
      <c r="J77" s="14">
        <f>IF(COUNT(D77:F77)=0,"",IF(11-MAX(D77:F77)&lt;=low_max,"LOW",IF(11-MAX(D77:F77)&lt;=watch_max,"WATCH","GOOD")))</f>
        <v/>
      </c>
      <c r="K77" s="15">
        <f>IF(OR($A77="",B77=""),"",IF(B77="Max hangs",COUNTIFS('Hang sets'!$N$3:$N$202,P77),COUNTIFS('Curl sets'!$P$3:$P$202,P77)))</f>
        <v/>
      </c>
      <c r="L77" s="14">
        <f>IF(OR(B77&lt;&gt;"Max hangs",N(K77)=0),"",_xlfn.MAXIFS('Hang sets'!$G$3:$G$202,'Hang sets'!$N$3:$N$202,P77))</f>
        <v/>
      </c>
      <c r="M77" s="14">
        <f>IF(OR(B77&lt;&gt;"Finger curls",N(K77)=0),"",_xlfn.MAXIFS('Curl sets'!$L$3:$L$202,'Curl sets'!$P$3:$P$202,P77))</f>
        <v/>
      </c>
      <c r="N77" s="14">
        <f>IF(OR(B77&lt;&gt;"Finger curls",N(K77)=0),"",_xlfn.MAXIFS('Curl sets'!$M$3:$M$202,'Curl sets'!$P$3:$P$202,P77))</f>
        <v/>
      </c>
      <c r="O77" s="14">
        <f>IF(COUNT(M77,N77)&lt;2,"",ROUND(100*(M77-N77)/MAX(M77,N77),1))</f>
        <v/>
      </c>
      <c r="P77" s="15">
        <f>IF(OR($A77="",B77=""),"",$A77*10+IF(B77="Max hangs",1,2))</f>
        <v/>
      </c>
    </row>
    <row r="78">
      <c r="A78" s="11" t="n"/>
      <c r="C78" s="12" t="n"/>
      <c r="H78" s="13" t="n"/>
      <c r="I78" s="14">
        <f>IF(COUNT(D78:F78)=0,"",ROUND(11-AVERAGE(D78:F78),1))</f>
        <v/>
      </c>
      <c r="J78" s="14">
        <f>IF(COUNT(D78:F78)=0,"",IF(11-MAX(D78:F78)&lt;=low_max,"LOW",IF(11-MAX(D78:F78)&lt;=watch_max,"WATCH","GOOD")))</f>
        <v/>
      </c>
      <c r="K78" s="15">
        <f>IF(OR($A78="",B78=""),"",IF(B78="Max hangs",COUNTIFS('Hang sets'!$N$3:$N$202,P78),COUNTIFS('Curl sets'!$P$3:$P$202,P78)))</f>
        <v/>
      </c>
      <c r="L78" s="14">
        <f>IF(OR(B78&lt;&gt;"Max hangs",N(K78)=0),"",_xlfn.MAXIFS('Hang sets'!$G$3:$G$202,'Hang sets'!$N$3:$N$202,P78))</f>
        <v/>
      </c>
      <c r="M78" s="14">
        <f>IF(OR(B78&lt;&gt;"Finger curls",N(K78)=0),"",_xlfn.MAXIFS('Curl sets'!$L$3:$L$202,'Curl sets'!$P$3:$P$202,P78))</f>
        <v/>
      </c>
      <c r="N78" s="14">
        <f>IF(OR(B78&lt;&gt;"Finger curls",N(K78)=0),"",_xlfn.MAXIFS('Curl sets'!$M$3:$M$202,'Curl sets'!$P$3:$P$202,P78))</f>
        <v/>
      </c>
      <c r="O78" s="14">
        <f>IF(COUNT(M78,N78)&lt;2,"",ROUND(100*(M78-N78)/MAX(M78,N78),1))</f>
        <v/>
      </c>
      <c r="P78" s="15">
        <f>IF(OR($A78="",B78=""),"",$A78*10+IF(B78="Max hangs",1,2))</f>
        <v/>
      </c>
    </row>
    <row r="79">
      <c r="A79" s="11" t="n"/>
      <c r="C79" s="12" t="n"/>
      <c r="H79" s="13" t="n"/>
      <c r="I79" s="14">
        <f>IF(COUNT(D79:F79)=0,"",ROUND(11-AVERAGE(D79:F79),1))</f>
        <v/>
      </c>
      <c r="J79" s="14">
        <f>IF(COUNT(D79:F79)=0,"",IF(11-MAX(D79:F79)&lt;=low_max,"LOW",IF(11-MAX(D79:F79)&lt;=watch_max,"WATCH","GOOD")))</f>
        <v/>
      </c>
      <c r="K79" s="15">
        <f>IF(OR($A79="",B79=""),"",IF(B79="Max hangs",COUNTIFS('Hang sets'!$N$3:$N$202,P79),COUNTIFS('Curl sets'!$P$3:$P$202,P79)))</f>
        <v/>
      </c>
      <c r="L79" s="14">
        <f>IF(OR(B79&lt;&gt;"Max hangs",N(K79)=0),"",_xlfn.MAXIFS('Hang sets'!$G$3:$G$202,'Hang sets'!$N$3:$N$202,P79))</f>
        <v/>
      </c>
      <c r="M79" s="14">
        <f>IF(OR(B79&lt;&gt;"Finger curls",N(K79)=0),"",_xlfn.MAXIFS('Curl sets'!$L$3:$L$202,'Curl sets'!$P$3:$P$202,P79))</f>
        <v/>
      </c>
      <c r="N79" s="14">
        <f>IF(OR(B79&lt;&gt;"Finger curls",N(K79)=0),"",_xlfn.MAXIFS('Curl sets'!$M$3:$M$202,'Curl sets'!$P$3:$P$202,P79))</f>
        <v/>
      </c>
      <c r="O79" s="14">
        <f>IF(COUNT(M79,N79)&lt;2,"",ROUND(100*(M79-N79)/MAX(M79,N79),1))</f>
        <v/>
      </c>
      <c r="P79" s="15">
        <f>IF(OR($A79="",B79=""),"",$A79*10+IF(B79="Max hangs",1,2))</f>
        <v/>
      </c>
    </row>
    <row r="80">
      <c r="A80" s="11" t="n"/>
      <c r="C80" s="12" t="n"/>
      <c r="H80" s="13" t="n"/>
      <c r="I80" s="14">
        <f>IF(COUNT(D80:F80)=0,"",ROUND(11-AVERAGE(D80:F80),1))</f>
        <v/>
      </c>
      <c r="J80" s="14">
        <f>IF(COUNT(D80:F80)=0,"",IF(11-MAX(D80:F80)&lt;=low_max,"LOW",IF(11-MAX(D80:F80)&lt;=watch_max,"WATCH","GOOD")))</f>
        <v/>
      </c>
      <c r="K80" s="15">
        <f>IF(OR($A80="",B80=""),"",IF(B80="Max hangs",COUNTIFS('Hang sets'!$N$3:$N$202,P80),COUNTIFS('Curl sets'!$P$3:$P$202,P80)))</f>
        <v/>
      </c>
      <c r="L80" s="14">
        <f>IF(OR(B80&lt;&gt;"Max hangs",N(K80)=0),"",_xlfn.MAXIFS('Hang sets'!$G$3:$G$202,'Hang sets'!$N$3:$N$202,P80))</f>
        <v/>
      </c>
      <c r="M80" s="14">
        <f>IF(OR(B80&lt;&gt;"Finger curls",N(K80)=0),"",_xlfn.MAXIFS('Curl sets'!$L$3:$L$202,'Curl sets'!$P$3:$P$202,P80))</f>
        <v/>
      </c>
      <c r="N80" s="14">
        <f>IF(OR(B80&lt;&gt;"Finger curls",N(K80)=0),"",_xlfn.MAXIFS('Curl sets'!$M$3:$M$202,'Curl sets'!$P$3:$P$202,P80))</f>
        <v/>
      </c>
      <c r="O80" s="14">
        <f>IF(COUNT(M80,N80)&lt;2,"",ROUND(100*(M80-N80)/MAX(M80,N80),1))</f>
        <v/>
      </c>
      <c r="P80" s="15">
        <f>IF(OR($A80="",B80=""),"",$A80*10+IF(B80="Max hangs",1,2))</f>
        <v/>
      </c>
    </row>
    <row r="81">
      <c r="A81" s="11" t="n"/>
      <c r="C81" s="12" t="n"/>
      <c r="H81" s="13" t="n"/>
      <c r="I81" s="14">
        <f>IF(COUNT(D81:F81)=0,"",ROUND(11-AVERAGE(D81:F81),1))</f>
        <v/>
      </c>
      <c r="J81" s="14">
        <f>IF(COUNT(D81:F81)=0,"",IF(11-MAX(D81:F81)&lt;=low_max,"LOW",IF(11-MAX(D81:F81)&lt;=watch_max,"WATCH","GOOD")))</f>
        <v/>
      </c>
      <c r="K81" s="15">
        <f>IF(OR($A81="",B81=""),"",IF(B81="Max hangs",COUNTIFS('Hang sets'!$N$3:$N$202,P81),COUNTIFS('Curl sets'!$P$3:$P$202,P81)))</f>
        <v/>
      </c>
      <c r="L81" s="14">
        <f>IF(OR(B81&lt;&gt;"Max hangs",N(K81)=0),"",_xlfn.MAXIFS('Hang sets'!$G$3:$G$202,'Hang sets'!$N$3:$N$202,P81))</f>
        <v/>
      </c>
      <c r="M81" s="14">
        <f>IF(OR(B81&lt;&gt;"Finger curls",N(K81)=0),"",_xlfn.MAXIFS('Curl sets'!$L$3:$L$202,'Curl sets'!$P$3:$P$202,P81))</f>
        <v/>
      </c>
      <c r="N81" s="14">
        <f>IF(OR(B81&lt;&gt;"Finger curls",N(K81)=0),"",_xlfn.MAXIFS('Curl sets'!$M$3:$M$202,'Curl sets'!$P$3:$P$202,P81))</f>
        <v/>
      </c>
      <c r="O81" s="14">
        <f>IF(COUNT(M81,N81)&lt;2,"",ROUND(100*(M81-N81)/MAX(M81,N81),1))</f>
        <v/>
      </c>
      <c r="P81" s="15">
        <f>IF(OR($A81="",B81=""),"",$A81*10+IF(B81="Max hangs",1,2))</f>
        <v/>
      </c>
    </row>
    <row r="82">
      <c r="A82" s="11" t="n"/>
      <c r="C82" s="12" t="n"/>
      <c r="H82" s="13" t="n"/>
      <c r="I82" s="14">
        <f>IF(COUNT(D82:F82)=0,"",ROUND(11-AVERAGE(D82:F82),1))</f>
        <v/>
      </c>
      <c r="J82" s="14">
        <f>IF(COUNT(D82:F82)=0,"",IF(11-MAX(D82:F82)&lt;=low_max,"LOW",IF(11-MAX(D82:F82)&lt;=watch_max,"WATCH","GOOD")))</f>
        <v/>
      </c>
      <c r="K82" s="15">
        <f>IF(OR($A82="",B82=""),"",IF(B82="Max hangs",COUNTIFS('Hang sets'!$N$3:$N$202,P82),COUNTIFS('Curl sets'!$P$3:$P$202,P82)))</f>
        <v/>
      </c>
      <c r="L82" s="14">
        <f>IF(OR(B82&lt;&gt;"Max hangs",N(K82)=0),"",_xlfn.MAXIFS('Hang sets'!$G$3:$G$202,'Hang sets'!$N$3:$N$202,P82))</f>
        <v/>
      </c>
      <c r="M82" s="14">
        <f>IF(OR(B82&lt;&gt;"Finger curls",N(K82)=0),"",_xlfn.MAXIFS('Curl sets'!$L$3:$L$202,'Curl sets'!$P$3:$P$202,P82))</f>
        <v/>
      </c>
      <c r="N82" s="14">
        <f>IF(OR(B82&lt;&gt;"Finger curls",N(K82)=0),"",_xlfn.MAXIFS('Curl sets'!$M$3:$M$202,'Curl sets'!$P$3:$P$202,P82))</f>
        <v/>
      </c>
      <c r="O82" s="14">
        <f>IF(COUNT(M82,N82)&lt;2,"",ROUND(100*(M82-N82)/MAX(M82,N82),1))</f>
        <v/>
      </c>
      <c r="P82" s="15">
        <f>IF(OR($A82="",B82=""),"",$A82*10+IF(B82="Max hangs",1,2))</f>
        <v/>
      </c>
    </row>
    <row r="83">
      <c r="A83" s="11" t="n"/>
      <c r="C83" s="12" t="n"/>
      <c r="H83" s="13" t="n"/>
      <c r="I83" s="14">
        <f>IF(COUNT(D83:F83)=0,"",ROUND(11-AVERAGE(D83:F83),1))</f>
        <v/>
      </c>
      <c r="J83" s="14">
        <f>IF(COUNT(D83:F83)=0,"",IF(11-MAX(D83:F83)&lt;=low_max,"LOW",IF(11-MAX(D83:F83)&lt;=watch_max,"WATCH","GOOD")))</f>
        <v/>
      </c>
      <c r="K83" s="15">
        <f>IF(OR($A83="",B83=""),"",IF(B83="Max hangs",COUNTIFS('Hang sets'!$N$3:$N$202,P83),COUNTIFS('Curl sets'!$P$3:$P$202,P83)))</f>
        <v/>
      </c>
      <c r="L83" s="14">
        <f>IF(OR(B83&lt;&gt;"Max hangs",N(K83)=0),"",_xlfn.MAXIFS('Hang sets'!$G$3:$G$202,'Hang sets'!$N$3:$N$202,P83))</f>
        <v/>
      </c>
      <c r="M83" s="14">
        <f>IF(OR(B83&lt;&gt;"Finger curls",N(K83)=0),"",_xlfn.MAXIFS('Curl sets'!$L$3:$L$202,'Curl sets'!$P$3:$P$202,P83))</f>
        <v/>
      </c>
      <c r="N83" s="14">
        <f>IF(OR(B83&lt;&gt;"Finger curls",N(K83)=0),"",_xlfn.MAXIFS('Curl sets'!$M$3:$M$202,'Curl sets'!$P$3:$P$202,P83))</f>
        <v/>
      </c>
      <c r="O83" s="14">
        <f>IF(COUNT(M83,N83)&lt;2,"",ROUND(100*(M83-N83)/MAX(M83,N83),1))</f>
        <v/>
      </c>
      <c r="P83" s="15">
        <f>IF(OR($A83="",B83=""),"",$A83*10+IF(B83="Max hangs",1,2))</f>
        <v/>
      </c>
    </row>
    <row r="84">
      <c r="A84" s="11" t="n"/>
      <c r="C84" s="12" t="n"/>
      <c r="H84" s="13" t="n"/>
      <c r="I84" s="14">
        <f>IF(COUNT(D84:F84)=0,"",ROUND(11-AVERAGE(D84:F84),1))</f>
        <v/>
      </c>
      <c r="J84" s="14">
        <f>IF(COUNT(D84:F84)=0,"",IF(11-MAX(D84:F84)&lt;=low_max,"LOW",IF(11-MAX(D84:F84)&lt;=watch_max,"WATCH","GOOD")))</f>
        <v/>
      </c>
      <c r="K84" s="15">
        <f>IF(OR($A84="",B84=""),"",IF(B84="Max hangs",COUNTIFS('Hang sets'!$N$3:$N$202,P84),COUNTIFS('Curl sets'!$P$3:$P$202,P84)))</f>
        <v/>
      </c>
      <c r="L84" s="14">
        <f>IF(OR(B84&lt;&gt;"Max hangs",N(K84)=0),"",_xlfn.MAXIFS('Hang sets'!$G$3:$G$202,'Hang sets'!$N$3:$N$202,P84))</f>
        <v/>
      </c>
      <c r="M84" s="14">
        <f>IF(OR(B84&lt;&gt;"Finger curls",N(K84)=0),"",_xlfn.MAXIFS('Curl sets'!$L$3:$L$202,'Curl sets'!$P$3:$P$202,P84))</f>
        <v/>
      </c>
      <c r="N84" s="14">
        <f>IF(OR(B84&lt;&gt;"Finger curls",N(K84)=0),"",_xlfn.MAXIFS('Curl sets'!$M$3:$M$202,'Curl sets'!$P$3:$P$202,P84))</f>
        <v/>
      </c>
      <c r="O84" s="14">
        <f>IF(COUNT(M84,N84)&lt;2,"",ROUND(100*(M84-N84)/MAX(M84,N84),1))</f>
        <v/>
      </c>
      <c r="P84" s="15">
        <f>IF(OR($A84="",B84=""),"",$A84*10+IF(B84="Max hangs",1,2))</f>
        <v/>
      </c>
    </row>
    <row r="85">
      <c r="A85" s="11" t="n"/>
      <c r="C85" s="12" t="n"/>
      <c r="H85" s="13" t="n"/>
      <c r="I85" s="14">
        <f>IF(COUNT(D85:F85)=0,"",ROUND(11-AVERAGE(D85:F85),1))</f>
        <v/>
      </c>
      <c r="J85" s="14">
        <f>IF(COUNT(D85:F85)=0,"",IF(11-MAX(D85:F85)&lt;=low_max,"LOW",IF(11-MAX(D85:F85)&lt;=watch_max,"WATCH","GOOD")))</f>
        <v/>
      </c>
      <c r="K85" s="15">
        <f>IF(OR($A85="",B85=""),"",IF(B85="Max hangs",COUNTIFS('Hang sets'!$N$3:$N$202,P85),COUNTIFS('Curl sets'!$P$3:$P$202,P85)))</f>
        <v/>
      </c>
      <c r="L85" s="14">
        <f>IF(OR(B85&lt;&gt;"Max hangs",N(K85)=0),"",_xlfn.MAXIFS('Hang sets'!$G$3:$G$202,'Hang sets'!$N$3:$N$202,P85))</f>
        <v/>
      </c>
      <c r="M85" s="14">
        <f>IF(OR(B85&lt;&gt;"Finger curls",N(K85)=0),"",_xlfn.MAXIFS('Curl sets'!$L$3:$L$202,'Curl sets'!$P$3:$P$202,P85))</f>
        <v/>
      </c>
      <c r="N85" s="14">
        <f>IF(OR(B85&lt;&gt;"Finger curls",N(K85)=0),"",_xlfn.MAXIFS('Curl sets'!$M$3:$M$202,'Curl sets'!$P$3:$P$202,P85))</f>
        <v/>
      </c>
      <c r="O85" s="14">
        <f>IF(COUNT(M85,N85)&lt;2,"",ROUND(100*(M85-N85)/MAX(M85,N85),1))</f>
        <v/>
      </c>
      <c r="P85" s="15">
        <f>IF(OR($A85="",B85=""),"",$A85*10+IF(B85="Max hangs",1,2))</f>
        <v/>
      </c>
    </row>
    <row r="86">
      <c r="A86" s="11" t="n"/>
      <c r="C86" s="12" t="n"/>
      <c r="H86" s="13" t="n"/>
      <c r="I86" s="14">
        <f>IF(COUNT(D86:F86)=0,"",ROUND(11-AVERAGE(D86:F86),1))</f>
        <v/>
      </c>
      <c r="J86" s="14">
        <f>IF(COUNT(D86:F86)=0,"",IF(11-MAX(D86:F86)&lt;=low_max,"LOW",IF(11-MAX(D86:F86)&lt;=watch_max,"WATCH","GOOD")))</f>
        <v/>
      </c>
      <c r="K86" s="15">
        <f>IF(OR($A86="",B86=""),"",IF(B86="Max hangs",COUNTIFS('Hang sets'!$N$3:$N$202,P86),COUNTIFS('Curl sets'!$P$3:$P$202,P86)))</f>
        <v/>
      </c>
      <c r="L86" s="14">
        <f>IF(OR(B86&lt;&gt;"Max hangs",N(K86)=0),"",_xlfn.MAXIFS('Hang sets'!$G$3:$G$202,'Hang sets'!$N$3:$N$202,P86))</f>
        <v/>
      </c>
      <c r="M86" s="14">
        <f>IF(OR(B86&lt;&gt;"Finger curls",N(K86)=0),"",_xlfn.MAXIFS('Curl sets'!$L$3:$L$202,'Curl sets'!$P$3:$P$202,P86))</f>
        <v/>
      </c>
      <c r="N86" s="14">
        <f>IF(OR(B86&lt;&gt;"Finger curls",N(K86)=0),"",_xlfn.MAXIFS('Curl sets'!$M$3:$M$202,'Curl sets'!$P$3:$P$202,P86))</f>
        <v/>
      </c>
      <c r="O86" s="14">
        <f>IF(COUNT(M86,N86)&lt;2,"",ROUND(100*(M86-N86)/MAX(M86,N86),1))</f>
        <v/>
      </c>
      <c r="P86" s="15">
        <f>IF(OR($A86="",B86=""),"",$A86*10+IF(B86="Max hangs",1,2))</f>
        <v/>
      </c>
    </row>
    <row r="87">
      <c r="A87" s="11" t="n"/>
      <c r="C87" s="12" t="n"/>
      <c r="H87" s="13" t="n"/>
      <c r="I87" s="14">
        <f>IF(COUNT(D87:F87)=0,"",ROUND(11-AVERAGE(D87:F87),1))</f>
        <v/>
      </c>
      <c r="J87" s="14">
        <f>IF(COUNT(D87:F87)=0,"",IF(11-MAX(D87:F87)&lt;=low_max,"LOW",IF(11-MAX(D87:F87)&lt;=watch_max,"WATCH","GOOD")))</f>
        <v/>
      </c>
      <c r="K87" s="15">
        <f>IF(OR($A87="",B87=""),"",IF(B87="Max hangs",COUNTIFS('Hang sets'!$N$3:$N$202,P87),COUNTIFS('Curl sets'!$P$3:$P$202,P87)))</f>
        <v/>
      </c>
      <c r="L87" s="14">
        <f>IF(OR(B87&lt;&gt;"Max hangs",N(K87)=0),"",_xlfn.MAXIFS('Hang sets'!$G$3:$G$202,'Hang sets'!$N$3:$N$202,P87))</f>
        <v/>
      </c>
      <c r="M87" s="14">
        <f>IF(OR(B87&lt;&gt;"Finger curls",N(K87)=0),"",_xlfn.MAXIFS('Curl sets'!$L$3:$L$202,'Curl sets'!$P$3:$P$202,P87))</f>
        <v/>
      </c>
      <c r="N87" s="14">
        <f>IF(OR(B87&lt;&gt;"Finger curls",N(K87)=0),"",_xlfn.MAXIFS('Curl sets'!$M$3:$M$202,'Curl sets'!$P$3:$P$202,P87))</f>
        <v/>
      </c>
      <c r="O87" s="14">
        <f>IF(COUNT(M87,N87)&lt;2,"",ROUND(100*(M87-N87)/MAX(M87,N87),1))</f>
        <v/>
      </c>
      <c r="P87" s="15">
        <f>IF(OR($A87="",B87=""),"",$A87*10+IF(B87="Max hangs",1,2))</f>
        <v/>
      </c>
    </row>
    <row r="88">
      <c r="A88" s="11" t="n"/>
      <c r="C88" s="12" t="n"/>
      <c r="H88" s="13" t="n"/>
      <c r="I88" s="14">
        <f>IF(COUNT(D88:F88)=0,"",ROUND(11-AVERAGE(D88:F88),1))</f>
        <v/>
      </c>
      <c r="J88" s="14">
        <f>IF(COUNT(D88:F88)=0,"",IF(11-MAX(D88:F88)&lt;=low_max,"LOW",IF(11-MAX(D88:F88)&lt;=watch_max,"WATCH","GOOD")))</f>
        <v/>
      </c>
      <c r="K88" s="15">
        <f>IF(OR($A88="",B88=""),"",IF(B88="Max hangs",COUNTIFS('Hang sets'!$N$3:$N$202,P88),COUNTIFS('Curl sets'!$P$3:$P$202,P88)))</f>
        <v/>
      </c>
      <c r="L88" s="14">
        <f>IF(OR(B88&lt;&gt;"Max hangs",N(K88)=0),"",_xlfn.MAXIFS('Hang sets'!$G$3:$G$202,'Hang sets'!$N$3:$N$202,P88))</f>
        <v/>
      </c>
      <c r="M88" s="14">
        <f>IF(OR(B88&lt;&gt;"Finger curls",N(K88)=0),"",_xlfn.MAXIFS('Curl sets'!$L$3:$L$202,'Curl sets'!$P$3:$P$202,P88))</f>
        <v/>
      </c>
      <c r="N88" s="14">
        <f>IF(OR(B88&lt;&gt;"Finger curls",N(K88)=0),"",_xlfn.MAXIFS('Curl sets'!$M$3:$M$202,'Curl sets'!$P$3:$P$202,P88))</f>
        <v/>
      </c>
      <c r="O88" s="14">
        <f>IF(COUNT(M88,N88)&lt;2,"",ROUND(100*(M88-N88)/MAX(M88,N88),1))</f>
        <v/>
      </c>
      <c r="P88" s="15">
        <f>IF(OR($A88="",B88=""),"",$A88*10+IF(B88="Max hangs",1,2))</f>
        <v/>
      </c>
    </row>
    <row r="89">
      <c r="A89" s="11" t="n"/>
      <c r="C89" s="12" t="n"/>
      <c r="H89" s="13" t="n"/>
      <c r="I89" s="14">
        <f>IF(COUNT(D89:F89)=0,"",ROUND(11-AVERAGE(D89:F89),1))</f>
        <v/>
      </c>
      <c r="J89" s="14">
        <f>IF(COUNT(D89:F89)=0,"",IF(11-MAX(D89:F89)&lt;=low_max,"LOW",IF(11-MAX(D89:F89)&lt;=watch_max,"WATCH","GOOD")))</f>
        <v/>
      </c>
      <c r="K89" s="15">
        <f>IF(OR($A89="",B89=""),"",IF(B89="Max hangs",COUNTIFS('Hang sets'!$N$3:$N$202,P89),COUNTIFS('Curl sets'!$P$3:$P$202,P89)))</f>
        <v/>
      </c>
      <c r="L89" s="14">
        <f>IF(OR(B89&lt;&gt;"Max hangs",N(K89)=0),"",_xlfn.MAXIFS('Hang sets'!$G$3:$G$202,'Hang sets'!$N$3:$N$202,P89))</f>
        <v/>
      </c>
      <c r="M89" s="14">
        <f>IF(OR(B89&lt;&gt;"Finger curls",N(K89)=0),"",_xlfn.MAXIFS('Curl sets'!$L$3:$L$202,'Curl sets'!$P$3:$P$202,P89))</f>
        <v/>
      </c>
      <c r="N89" s="14">
        <f>IF(OR(B89&lt;&gt;"Finger curls",N(K89)=0),"",_xlfn.MAXIFS('Curl sets'!$M$3:$M$202,'Curl sets'!$P$3:$P$202,P89))</f>
        <v/>
      </c>
      <c r="O89" s="14">
        <f>IF(COUNT(M89,N89)&lt;2,"",ROUND(100*(M89-N89)/MAX(M89,N89),1))</f>
        <v/>
      </c>
      <c r="P89" s="15">
        <f>IF(OR($A89="",B89=""),"",$A89*10+IF(B89="Max hangs",1,2))</f>
        <v/>
      </c>
    </row>
    <row r="90">
      <c r="A90" s="11" t="n"/>
      <c r="C90" s="12" t="n"/>
      <c r="H90" s="13" t="n"/>
      <c r="I90" s="14">
        <f>IF(COUNT(D90:F90)=0,"",ROUND(11-AVERAGE(D90:F90),1))</f>
        <v/>
      </c>
      <c r="J90" s="14">
        <f>IF(COUNT(D90:F90)=0,"",IF(11-MAX(D90:F90)&lt;=low_max,"LOW",IF(11-MAX(D90:F90)&lt;=watch_max,"WATCH","GOOD")))</f>
        <v/>
      </c>
      <c r="K90" s="15">
        <f>IF(OR($A90="",B90=""),"",IF(B90="Max hangs",COUNTIFS('Hang sets'!$N$3:$N$202,P90),COUNTIFS('Curl sets'!$P$3:$P$202,P90)))</f>
        <v/>
      </c>
      <c r="L90" s="14">
        <f>IF(OR(B90&lt;&gt;"Max hangs",N(K90)=0),"",_xlfn.MAXIFS('Hang sets'!$G$3:$G$202,'Hang sets'!$N$3:$N$202,P90))</f>
        <v/>
      </c>
      <c r="M90" s="14">
        <f>IF(OR(B90&lt;&gt;"Finger curls",N(K90)=0),"",_xlfn.MAXIFS('Curl sets'!$L$3:$L$202,'Curl sets'!$P$3:$P$202,P90))</f>
        <v/>
      </c>
      <c r="N90" s="14">
        <f>IF(OR(B90&lt;&gt;"Finger curls",N(K90)=0),"",_xlfn.MAXIFS('Curl sets'!$M$3:$M$202,'Curl sets'!$P$3:$P$202,P90))</f>
        <v/>
      </c>
      <c r="O90" s="14">
        <f>IF(COUNT(M90,N90)&lt;2,"",ROUND(100*(M90-N90)/MAX(M90,N90),1))</f>
        <v/>
      </c>
      <c r="P90" s="15">
        <f>IF(OR($A90="",B90=""),"",$A90*10+IF(B90="Max hangs",1,2))</f>
        <v/>
      </c>
    </row>
    <row r="91">
      <c r="A91" s="11" t="n"/>
      <c r="C91" s="12" t="n"/>
      <c r="H91" s="13" t="n"/>
      <c r="I91" s="14">
        <f>IF(COUNT(D91:F91)=0,"",ROUND(11-AVERAGE(D91:F91),1))</f>
        <v/>
      </c>
      <c r="J91" s="14">
        <f>IF(COUNT(D91:F91)=0,"",IF(11-MAX(D91:F91)&lt;=low_max,"LOW",IF(11-MAX(D91:F91)&lt;=watch_max,"WATCH","GOOD")))</f>
        <v/>
      </c>
      <c r="K91" s="15">
        <f>IF(OR($A91="",B91=""),"",IF(B91="Max hangs",COUNTIFS('Hang sets'!$N$3:$N$202,P91),COUNTIFS('Curl sets'!$P$3:$P$202,P91)))</f>
        <v/>
      </c>
      <c r="L91" s="14">
        <f>IF(OR(B91&lt;&gt;"Max hangs",N(K91)=0),"",_xlfn.MAXIFS('Hang sets'!$G$3:$G$202,'Hang sets'!$N$3:$N$202,P91))</f>
        <v/>
      </c>
      <c r="M91" s="14">
        <f>IF(OR(B91&lt;&gt;"Finger curls",N(K91)=0),"",_xlfn.MAXIFS('Curl sets'!$L$3:$L$202,'Curl sets'!$P$3:$P$202,P91))</f>
        <v/>
      </c>
      <c r="N91" s="14">
        <f>IF(OR(B91&lt;&gt;"Finger curls",N(K91)=0),"",_xlfn.MAXIFS('Curl sets'!$M$3:$M$202,'Curl sets'!$P$3:$P$202,P91))</f>
        <v/>
      </c>
      <c r="O91" s="14">
        <f>IF(COUNT(M91,N91)&lt;2,"",ROUND(100*(M91-N91)/MAX(M91,N91),1))</f>
        <v/>
      </c>
      <c r="P91" s="15">
        <f>IF(OR($A91="",B91=""),"",$A91*10+IF(B91="Max hangs",1,2))</f>
        <v/>
      </c>
    </row>
    <row r="92">
      <c r="A92" s="11" t="n"/>
      <c r="C92" s="12" t="n"/>
      <c r="H92" s="13" t="n"/>
      <c r="I92" s="14">
        <f>IF(COUNT(D92:F92)=0,"",ROUND(11-AVERAGE(D92:F92),1))</f>
        <v/>
      </c>
      <c r="J92" s="14">
        <f>IF(COUNT(D92:F92)=0,"",IF(11-MAX(D92:F92)&lt;=low_max,"LOW",IF(11-MAX(D92:F92)&lt;=watch_max,"WATCH","GOOD")))</f>
        <v/>
      </c>
      <c r="K92" s="15">
        <f>IF(OR($A92="",B92=""),"",IF(B92="Max hangs",COUNTIFS('Hang sets'!$N$3:$N$202,P92),COUNTIFS('Curl sets'!$P$3:$P$202,P92)))</f>
        <v/>
      </c>
      <c r="L92" s="14">
        <f>IF(OR(B92&lt;&gt;"Max hangs",N(K92)=0),"",_xlfn.MAXIFS('Hang sets'!$G$3:$G$202,'Hang sets'!$N$3:$N$202,P92))</f>
        <v/>
      </c>
      <c r="M92" s="14">
        <f>IF(OR(B92&lt;&gt;"Finger curls",N(K92)=0),"",_xlfn.MAXIFS('Curl sets'!$L$3:$L$202,'Curl sets'!$P$3:$P$202,P92))</f>
        <v/>
      </c>
      <c r="N92" s="14">
        <f>IF(OR(B92&lt;&gt;"Finger curls",N(K92)=0),"",_xlfn.MAXIFS('Curl sets'!$M$3:$M$202,'Curl sets'!$P$3:$P$202,P92))</f>
        <v/>
      </c>
      <c r="O92" s="14">
        <f>IF(COUNT(M92,N92)&lt;2,"",ROUND(100*(M92-N92)/MAX(M92,N92),1))</f>
        <v/>
      </c>
      <c r="P92" s="15">
        <f>IF(OR($A92="",B92=""),"",$A92*10+IF(B92="Max hangs",1,2))</f>
        <v/>
      </c>
    </row>
    <row r="93">
      <c r="A93" s="11" t="n"/>
      <c r="C93" s="12" t="n"/>
      <c r="H93" s="13" t="n"/>
      <c r="I93" s="14">
        <f>IF(COUNT(D93:F93)=0,"",ROUND(11-AVERAGE(D93:F93),1))</f>
        <v/>
      </c>
      <c r="J93" s="14">
        <f>IF(COUNT(D93:F93)=0,"",IF(11-MAX(D93:F93)&lt;=low_max,"LOW",IF(11-MAX(D93:F93)&lt;=watch_max,"WATCH","GOOD")))</f>
        <v/>
      </c>
      <c r="K93" s="15">
        <f>IF(OR($A93="",B93=""),"",IF(B93="Max hangs",COUNTIFS('Hang sets'!$N$3:$N$202,P93),COUNTIFS('Curl sets'!$P$3:$P$202,P93)))</f>
        <v/>
      </c>
      <c r="L93" s="14">
        <f>IF(OR(B93&lt;&gt;"Max hangs",N(K93)=0),"",_xlfn.MAXIFS('Hang sets'!$G$3:$G$202,'Hang sets'!$N$3:$N$202,P93))</f>
        <v/>
      </c>
      <c r="M93" s="14">
        <f>IF(OR(B93&lt;&gt;"Finger curls",N(K93)=0),"",_xlfn.MAXIFS('Curl sets'!$L$3:$L$202,'Curl sets'!$P$3:$P$202,P93))</f>
        <v/>
      </c>
      <c r="N93" s="14">
        <f>IF(OR(B93&lt;&gt;"Finger curls",N(K93)=0),"",_xlfn.MAXIFS('Curl sets'!$M$3:$M$202,'Curl sets'!$P$3:$P$202,P93))</f>
        <v/>
      </c>
      <c r="O93" s="14">
        <f>IF(COUNT(M93,N93)&lt;2,"",ROUND(100*(M93-N93)/MAX(M93,N93),1))</f>
        <v/>
      </c>
      <c r="P93" s="15">
        <f>IF(OR($A93="",B93=""),"",$A93*10+IF(B93="Max hangs",1,2))</f>
        <v/>
      </c>
    </row>
    <row r="94">
      <c r="A94" s="11" t="n"/>
      <c r="C94" s="12" t="n"/>
      <c r="H94" s="13" t="n"/>
      <c r="I94" s="14">
        <f>IF(COUNT(D94:F94)=0,"",ROUND(11-AVERAGE(D94:F94),1))</f>
        <v/>
      </c>
      <c r="J94" s="14">
        <f>IF(COUNT(D94:F94)=0,"",IF(11-MAX(D94:F94)&lt;=low_max,"LOW",IF(11-MAX(D94:F94)&lt;=watch_max,"WATCH","GOOD")))</f>
        <v/>
      </c>
      <c r="K94" s="15">
        <f>IF(OR($A94="",B94=""),"",IF(B94="Max hangs",COUNTIFS('Hang sets'!$N$3:$N$202,P94),COUNTIFS('Curl sets'!$P$3:$P$202,P94)))</f>
        <v/>
      </c>
      <c r="L94" s="14">
        <f>IF(OR(B94&lt;&gt;"Max hangs",N(K94)=0),"",_xlfn.MAXIFS('Hang sets'!$G$3:$G$202,'Hang sets'!$N$3:$N$202,P94))</f>
        <v/>
      </c>
      <c r="M94" s="14">
        <f>IF(OR(B94&lt;&gt;"Finger curls",N(K94)=0),"",_xlfn.MAXIFS('Curl sets'!$L$3:$L$202,'Curl sets'!$P$3:$P$202,P94))</f>
        <v/>
      </c>
      <c r="N94" s="14">
        <f>IF(OR(B94&lt;&gt;"Finger curls",N(K94)=0),"",_xlfn.MAXIFS('Curl sets'!$M$3:$M$202,'Curl sets'!$P$3:$P$202,P94))</f>
        <v/>
      </c>
      <c r="O94" s="14">
        <f>IF(COUNT(M94,N94)&lt;2,"",ROUND(100*(M94-N94)/MAX(M94,N94),1))</f>
        <v/>
      </c>
      <c r="P94" s="15">
        <f>IF(OR($A94="",B94=""),"",$A94*10+IF(B94="Max hangs",1,2))</f>
        <v/>
      </c>
    </row>
    <row r="95">
      <c r="A95" s="11" t="n"/>
      <c r="C95" s="12" t="n"/>
      <c r="H95" s="13" t="n"/>
      <c r="I95" s="14">
        <f>IF(COUNT(D95:F95)=0,"",ROUND(11-AVERAGE(D95:F95),1))</f>
        <v/>
      </c>
      <c r="J95" s="14">
        <f>IF(COUNT(D95:F95)=0,"",IF(11-MAX(D95:F95)&lt;=low_max,"LOW",IF(11-MAX(D95:F95)&lt;=watch_max,"WATCH","GOOD")))</f>
        <v/>
      </c>
      <c r="K95" s="15">
        <f>IF(OR($A95="",B95=""),"",IF(B95="Max hangs",COUNTIFS('Hang sets'!$N$3:$N$202,P95),COUNTIFS('Curl sets'!$P$3:$P$202,P95)))</f>
        <v/>
      </c>
      <c r="L95" s="14">
        <f>IF(OR(B95&lt;&gt;"Max hangs",N(K95)=0),"",_xlfn.MAXIFS('Hang sets'!$G$3:$G$202,'Hang sets'!$N$3:$N$202,P95))</f>
        <v/>
      </c>
      <c r="M95" s="14">
        <f>IF(OR(B95&lt;&gt;"Finger curls",N(K95)=0),"",_xlfn.MAXIFS('Curl sets'!$L$3:$L$202,'Curl sets'!$P$3:$P$202,P95))</f>
        <v/>
      </c>
      <c r="N95" s="14">
        <f>IF(OR(B95&lt;&gt;"Finger curls",N(K95)=0),"",_xlfn.MAXIFS('Curl sets'!$M$3:$M$202,'Curl sets'!$P$3:$P$202,P95))</f>
        <v/>
      </c>
      <c r="O95" s="14">
        <f>IF(COUNT(M95,N95)&lt;2,"",ROUND(100*(M95-N95)/MAX(M95,N95),1))</f>
        <v/>
      </c>
      <c r="P95" s="15">
        <f>IF(OR($A95="",B95=""),"",$A95*10+IF(B95="Max hangs",1,2))</f>
        <v/>
      </c>
    </row>
    <row r="96">
      <c r="A96" s="11" t="n"/>
      <c r="C96" s="12" t="n"/>
      <c r="H96" s="13" t="n"/>
      <c r="I96" s="14">
        <f>IF(COUNT(D96:F96)=0,"",ROUND(11-AVERAGE(D96:F96),1))</f>
        <v/>
      </c>
      <c r="J96" s="14">
        <f>IF(COUNT(D96:F96)=0,"",IF(11-MAX(D96:F96)&lt;=low_max,"LOW",IF(11-MAX(D96:F96)&lt;=watch_max,"WATCH","GOOD")))</f>
        <v/>
      </c>
      <c r="K96" s="15">
        <f>IF(OR($A96="",B96=""),"",IF(B96="Max hangs",COUNTIFS('Hang sets'!$N$3:$N$202,P96),COUNTIFS('Curl sets'!$P$3:$P$202,P96)))</f>
        <v/>
      </c>
      <c r="L96" s="14">
        <f>IF(OR(B96&lt;&gt;"Max hangs",N(K96)=0),"",_xlfn.MAXIFS('Hang sets'!$G$3:$G$202,'Hang sets'!$N$3:$N$202,P96))</f>
        <v/>
      </c>
      <c r="M96" s="14">
        <f>IF(OR(B96&lt;&gt;"Finger curls",N(K96)=0),"",_xlfn.MAXIFS('Curl sets'!$L$3:$L$202,'Curl sets'!$P$3:$P$202,P96))</f>
        <v/>
      </c>
      <c r="N96" s="14">
        <f>IF(OR(B96&lt;&gt;"Finger curls",N(K96)=0),"",_xlfn.MAXIFS('Curl sets'!$M$3:$M$202,'Curl sets'!$P$3:$P$202,P96))</f>
        <v/>
      </c>
      <c r="O96" s="14">
        <f>IF(COUNT(M96,N96)&lt;2,"",ROUND(100*(M96-N96)/MAX(M96,N96),1))</f>
        <v/>
      </c>
      <c r="P96" s="15">
        <f>IF(OR($A96="",B96=""),"",$A96*10+IF(B96="Max hangs",1,2))</f>
        <v/>
      </c>
    </row>
    <row r="97">
      <c r="A97" s="11" t="n"/>
      <c r="C97" s="12" t="n"/>
      <c r="H97" s="13" t="n"/>
      <c r="I97" s="14">
        <f>IF(COUNT(D97:F97)=0,"",ROUND(11-AVERAGE(D97:F97),1))</f>
        <v/>
      </c>
      <c r="J97" s="14">
        <f>IF(COUNT(D97:F97)=0,"",IF(11-MAX(D97:F97)&lt;=low_max,"LOW",IF(11-MAX(D97:F97)&lt;=watch_max,"WATCH","GOOD")))</f>
        <v/>
      </c>
      <c r="K97" s="15">
        <f>IF(OR($A97="",B97=""),"",IF(B97="Max hangs",COUNTIFS('Hang sets'!$N$3:$N$202,P97),COUNTIFS('Curl sets'!$P$3:$P$202,P97)))</f>
        <v/>
      </c>
      <c r="L97" s="14">
        <f>IF(OR(B97&lt;&gt;"Max hangs",N(K97)=0),"",_xlfn.MAXIFS('Hang sets'!$G$3:$G$202,'Hang sets'!$N$3:$N$202,P97))</f>
        <v/>
      </c>
      <c r="M97" s="14">
        <f>IF(OR(B97&lt;&gt;"Finger curls",N(K97)=0),"",_xlfn.MAXIFS('Curl sets'!$L$3:$L$202,'Curl sets'!$P$3:$P$202,P97))</f>
        <v/>
      </c>
      <c r="N97" s="14">
        <f>IF(OR(B97&lt;&gt;"Finger curls",N(K97)=0),"",_xlfn.MAXIFS('Curl sets'!$M$3:$M$202,'Curl sets'!$P$3:$P$202,P97))</f>
        <v/>
      </c>
      <c r="O97" s="14">
        <f>IF(COUNT(M97,N97)&lt;2,"",ROUND(100*(M97-N97)/MAX(M97,N97),1))</f>
        <v/>
      </c>
      <c r="P97" s="15">
        <f>IF(OR($A97="",B97=""),"",$A97*10+IF(B97="Max hangs",1,2))</f>
        <v/>
      </c>
    </row>
    <row r="98">
      <c r="A98" s="11" t="n"/>
      <c r="C98" s="12" t="n"/>
      <c r="H98" s="13" t="n"/>
      <c r="I98" s="14">
        <f>IF(COUNT(D98:F98)=0,"",ROUND(11-AVERAGE(D98:F98),1))</f>
        <v/>
      </c>
      <c r="J98" s="14">
        <f>IF(COUNT(D98:F98)=0,"",IF(11-MAX(D98:F98)&lt;=low_max,"LOW",IF(11-MAX(D98:F98)&lt;=watch_max,"WATCH","GOOD")))</f>
        <v/>
      </c>
      <c r="K98" s="15">
        <f>IF(OR($A98="",B98=""),"",IF(B98="Max hangs",COUNTIFS('Hang sets'!$N$3:$N$202,P98),COUNTIFS('Curl sets'!$P$3:$P$202,P98)))</f>
        <v/>
      </c>
      <c r="L98" s="14">
        <f>IF(OR(B98&lt;&gt;"Max hangs",N(K98)=0),"",_xlfn.MAXIFS('Hang sets'!$G$3:$G$202,'Hang sets'!$N$3:$N$202,P98))</f>
        <v/>
      </c>
      <c r="M98" s="14">
        <f>IF(OR(B98&lt;&gt;"Finger curls",N(K98)=0),"",_xlfn.MAXIFS('Curl sets'!$L$3:$L$202,'Curl sets'!$P$3:$P$202,P98))</f>
        <v/>
      </c>
      <c r="N98" s="14">
        <f>IF(OR(B98&lt;&gt;"Finger curls",N(K98)=0),"",_xlfn.MAXIFS('Curl sets'!$M$3:$M$202,'Curl sets'!$P$3:$P$202,P98))</f>
        <v/>
      </c>
      <c r="O98" s="14">
        <f>IF(COUNT(M98,N98)&lt;2,"",ROUND(100*(M98-N98)/MAX(M98,N98),1))</f>
        <v/>
      </c>
      <c r="P98" s="15">
        <f>IF(OR($A98="",B98=""),"",$A98*10+IF(B98="Max hangs",1,2))</f>
        <v/>
      </c>
    </row>
    <row r="99">
      <c r="A99" s="11" t="n"/>
      <c r="C99" s="12" t="n"/>
      <c r="H99" s="13" t="n"/>
      <c r="I99" s="14">
        <f>IF(COUNT(D99:F99)=0,"",ROUND(11-AVERAGE(D99:F99),1))</f>
        <v/>
      </c>
      <c r="J99" s="14">
        <f>IF(COUNT(D99:F99)=0,"",IF(11-MAX(D99:F99)&lt;=low_max,"LOW",IF(11-MAX(D99:F99)&lt;=watch_max,"WATCH","GOOD")))</f>
        <v/>
      </c>
      <c r="K99" s="15">
        <f>IF(OR($A99="",B99=""),"",IF(B99="Max hangs",COUNTIFS('Hang sets'!$N$3:$N$202,P99),COUNTIFS('Curl sets'!$P$3:$P$202,P99)))</f>
        <v/>
      </c>
      <c r="L99" s="14">
        <f>IF(OR(B99&lt;&gt;"Max hangs",N(K99)=0),"",_xlfn.MAXIFS('Hang sets'!$G$3:$G$202,'Hang sets'!$N$3:$N$202,P99))</f>
        <v/>
      </c>
      <c r="M99" s="14">
        <f>IF(OR(B99&lt;&gt;"Finger curls",N(K99)=0),"",_xlfn.MAXIFS('Curl sets'!$L$3:$L$202,'Curl sets'!$P$3:$P$202,P99))</f>
        <v/>
      </c>
      <c r="N99" s="14">
        <f>IF(OR(B99&lt;&gt;"Finger curls",N(K99)=0),"",_xlfn.MAXIFS('Curl sets'!$M$3:$M$202,'Curl sets'!$P$3:$P$202,P99))</f>
        <v/>
      </c>
      <c r="O99" s="14">
        <f>IF(COUNT(M99,N99)&lt;2,"",ROUND(100*(M99-N99)/MAX(M99,N99),1))</f>
        <v/>
      </c>
      <c r="P99" s="15">
        <f>IF(OR($A99="",B99=""),"",$A99*10+IF(B99="Max hangs",1,2))</f>
        <v/>
      </c>
    </row>
    <row r="100">
      <c r="A100" s="11" t="n"/>
      <c r="C100" s="12" t="n"/>
      <c r="H100" s="13" t="n"/>
      <c r="I100" s="14">
        <f>IF(COUNT(D100:F100)=0,"",ROUND(11-AVERAGE(D100:F100),1))</f>
        <v/>
      </c>
      <c r="J100" s="14">
        <f>IF(COUNT(D100:F100)=0,"",IF(11-MAX(D100:F100)&lt;=low_max,"LOW",IF(11-MAX(D100:F100)&lt;=watch_max,"WATCH","GOOD")))</f>
        <v/>
      </c>
      <c r="K100" s="15">
        <f>IF(OR($A100="",B100=""),"",IF(B100="Max hangs",COUNTIFS('Hang sets'!$N$3:$N$202,P100),COUNTIFS('Curl sets'!$P$3:$P$202,P100)))</f>
        <v/>
      </c>
      <c r="L100" s="14">
        <f>IF(OR(B100&lt;&gt;"Max hangs",N(K100)=0),"",_xlfn.MAXIFS('Hang sets'!$G$3:$G$202,'Hang sets'!$N$3:$N$202,P100))</f>
        <v/>
      </c>
      <c r="M100" s="14">
        <f>IF(OR(B100&lt;&gt;"Finger curls",N(K100)=0),"",_xlfn.MAXIFS('Curl sets'!$L$3:$L$202,'Curl sets'!$P$3:$P$202,P100))</f>
        <v/>
      </c>
      <c r="N100" s="14">
        <f>IF(OR(B100&lt;&gt;"Finger curls",N(K100)=0),"",_xlfn.MAXIFS('Curl sets'!$M$3:$M$202,'Curl sets'!$P$3:$P$202,P100))</f>
        <v/>
      </c>
      <c r="O100" s="14">
        <f>IF(COUNT(M100,N100)&lt;2,"",ROUND(100*(M100-N100)/MAX(M100,N100),1))</f>
        <v/>
      </c>
      <c r="P100" s="15">
        <f>IF(OR($A100="",B100=""),"",$A100*10+IF(B100="Max hangs",1,2))</f>
        <v/>
      </c>
    </row>
    <row r="101">
      <c r="A101" s="11" t="n"/>
      <c r="C101" s="12" t="n"/>
      <c r="H101" s="13" t="n"/>
      <c r="I101" s="14">
        <f>IF(COUNT(D101:F101)=0,"",ROUND(11-AVERAGE(D101:F101),1))</f>
        <v/>
      </c>
      <c r="J101" s="14">
        <f>IF(COUNT(D101:F101)=0,"",IF(11-MAX(D101:F101)&lt;=low_max,"LOW",IF(11-MAX(D101:F101)&lt;=watch_max,"WATCH","GOOD")))</f>
        <v/>
      </c>
      <c r="K101" s="15">
        <f>IF(OR($A101="",B101=""),"",IF(B101="Max hangs",COUNTIFS('Hang sets'!$N$3:$N$202,P101),COUNTIFS('Curl sets'!$P$3:$P$202,P101)))</f>
        <v/>
      </c>
      <c r="L101" s="14">
        <f>IF(OR(B101&lt;&gt;"Max hangs",N(K101)=0),"",_xlfn.MAXIFS('Hang sets'!$G$3:$G$202,'Hang sets'!$N$3:$N$202,P101))</f>
        <v/>
      </c>
      <c r="M101" s="14">
        <f>IF(OR(B101&lt;&gt;"Finger curls",N(K101)=0),"",_xlfn.MAXIFS('Curl sets'!$L$3:$L$202,'Curl sets'!$P$3:$P$202,P101))</f>
        <v/>
      </c>
      <c r="N101" s="14">
        <f>IF(OR(B101&lt;&gt;"Finger curls",N(K101)=0),"",_xlfn.MAXIFS('Curl sets'!$M$3:$M$202,'Curl sets'!$P$3:$P$202,P101))</f>
        <v/>
      </c>
      <c r="O101" s="14">
        <f>IF(COUNT(M101,N101)&lt;2,"",ROUND(100*(M101-N101)/MAX(M101,N101),1))</f>
        <v/>
      </c>
      <c r="P101" s="15">
        <f>IF(OR($A101="",B101=""),"",$A101*10+IF(B101="Max hangs",1,2))</f>
        <v/>
      </c>
    </row>
    <row r="102">
      <c r="A102" s="11" t="n"/>
      <c r="C102" s="12" t="n"/>
      <c r="H102" s="13" t="n"/>
      <c r="I102" s="14">
        <f>IF(COUNT(D102:F102)=0,"",ROUND(11-AVERAGE(D102:F102),1))</f>
        <v/>
      </c>
      <c r="J102" s="14">
        <f>IF(COUNT(D102:F102)=0,"",IF(11-MAX(D102:F102)&lt;=low_max,"LOW",IF(11-MAX(D102:F102)&lt;=watch_max,"WATCH","GOOD")))</f>
        <v/>
      </c>
      <c r="K102" s="15">
        <f>IF(OR($A102="",B102=""),"",IF(B102="Max hangs",COUNTIFS('Hang sets'!$N$3:$N$202,P102),COUNTIFS('Curl sets'!$P$3:$P$202,P102)))</f>
        <v/>
      </c>
      <c r="L102" s="14">
        <f>IF(OR(B102&lt;&gt;"Max hangs",N(K102)=0),"",_xlfn.MAXIFS('Hang sets'!$G$3:$G$202,'Hang sets'!$N$3:$N$202,P102))</f>
        <v/>
      </c>
      <c r="M102" s="14">
        <f>IF(OR(B102&lt;&gt;"Finger curls",N(K102)=0),"",_xlfn.MAXIFS('Curl sets'!$L$3:$L$202,'Curl sets'!$P$3:$P$202,P102))</f>
        <v/>
      </c>
      <c r="N102" s="14">
        <f>IF(OR(B102&lt;&gt;"Finger curls",N(K102)=0),"",_xlfn.MAXIFS('Curl sets'!$M$3:$M$202,'Curl sets'!$P$3:$P$202,P102))</f>
        <v/>
      </c>
      <c r="O102" s="14">
        <f>IF(COUNT(M102,N102)&lt;2,"",ROUND(100*(M102-N102)/MAX(M102,N102),1))</f>
        <v/>
      </c>
      <c r="P102" s="15">
        <f>IF(OR($A102="",B102=""),"",$A102*10+IF(B102="Max hangs",1,2))</f>
        <v/>
      </c>
    </row>
    <row r="103">
      <c r="A103" s="11" t="n"/>
      <c r="C103" s="12" t="n"/>
      <c r="H103" s="13" t="n"/>
      <c r="I103" s="14">
        <f>IF(COUNT(D103:F103)=0,"",ROUND(11-AVERAGE(D103:F103),1))</f>
        <v/>
      </c>
      <c r="J103" s="14">
        <f>IF(COUNT(D103:F103)=0,"",IF(11-MAX(D103:F103)&lt;=low_max,"LOW",IF(11-MAX(D103:F103)&lt;=watch_max,"WATCH","GOOD")))</f>
        <v/>
      </c>
      <c r="K103" s="15">
        <f>IF(OR($A103="",B103=""),"",IF(B103="Max hangs",COUNTIFS('Hang sets'!$N$3:$N$202,P103),COUNTIFS('Curl sets'!$P$3:$P$202,P103)))</f>
        <v/>
      </c>
      <c r="L103" s="14">
        <f>IF(OR(B103&lt;&gt;"Max hangs",N(K103)=0),"",_xlfn.MAXIFS('Hang sets'!$G$3:$G$202,'Hang sets'!$N$3:$N$202,P103))</f>
        <v/>
      </c>
      <c r="M103" s="14">
        <f>IF(OR(B103&lt;&gt;"Finger curls",N(K103)=0),"",_xlfn.MAXIFS('Curl sets'!$L$3:$L$202,'Curl sets'!$P$3:$P$202,P103))</f>
        <v/>
      </c>
      <c r="N103" s="14">
        <f>IF(OR(B103&lt;&gt;"Finger curls",N(K103)=0),"",_xlfn.MAXIFS('Curl sets'!$M$3:$M$202,'Curl sets'!$P$3:$P$202,P103))</f>
        <v/>
      </c>
      <c r="O103" s="14">
        <f>IF(COUNT(M103,N103)&lt;2,"",ROUND(100*(M103-N103)/MAX(M103,N103),1))</f>
        <v/>
      </c>
      <c r="P103" s="15">
        <f>IF(OR($A103="",B103=""),"",$A103*10+IF(B103="Max hangs",1,2))</f>
        <v/>
      </c>
    </row>
    <row r="104">
      <c r="A104" s="11" t="n"/>
      <c r="C104" s="12" t="n"/>
      <c r="H104" s="13" t="n"/>
      <c r="I104" s="14">
        <f>IF(COUNT(D104:F104)=0,"",ROUND(11-AVERAGE(D104:F104),1))</f>
        <v/>
      </c>
      <c r="J104" s="14">
        <f>IF(COUNT(D104:F104)=0,"",IF(11-MAX(D104:F104)&lt;=low_max,"LOW",IF(11-MAX(D104:F104)&lt;=watch_max,"WATCH","GOOD")))</f>
        <v/>
      </c>
      <c r="K104" s="15">
        <f>IF(OR($A104="",B104=""),"",IF(B104="Max hangs",COUNTIFS('Hang sets'!$N$3:$N$202,P104),COUNTIFS('Curl sets'!$P$3:$P$202,P104)))</f>
        <v/>
      </c>
      <c r="L104" s="14">
        <f>IF(OR(B104&lt;&gt;"Max hangs",N(K104)=0),"",_xlfn.MAXIFS('Hang sets'!$G$3:$G$202,'Hang sets'!$N$3:$N$202,P104))</f>
        <v/>
      </c>
      <c r="M104" s="14">
        <f>IF(OR(B104&lt;&gt;"Finger curls",N(K104)=0),"",_xlfn.MAXIFS('Curl sets'!$L$3:$L$202,'Curl sets'!$P$3:$P$202,P104))</f>
        <v/>
      </c>
      <c r="N104" s="14">
        <f>IF(OR(B104&lt;&gt;"Finger curls",N(K104)=0),"",_xlfn.MAXIFS('Curl sets'!$M$3:$M$202,'Curl sets'!$P$3:$P$202,P104))</f>
        <v/>
      </c>
      <c r="O104" s="14">
        <f>IF(COUNT(M104,N104)&lt;2,"",ROUND(100*(M104-N104)/MAX(M104,N104),1))</f>
        <v/>
      </c>
      <c r="P104" s="15">
        <f>IF(OR($A104="",B104=""),"",$A104*10+IF(B104="Max hangs",1,2))</f>
        <v/>
      </c>
    </row>
    <row r="105">
      <c r="A105" s="11" t="n"/>
      <c r="C105" s="12" t="n"/>
      <c r="H105" s="13" t="n"/>
      <c r="I105" s="14">
        <f>IF(COUNT(D105:F105)=0,"",ROUND(11-AVERAGE(D105:F105),1))</f>
        <v/>
      </c>
      <c r="J105" s="14">
        <f>IF(COUNT(D105:F105)=0,"",IF(11-MAX(D105:F105)&lt;=low_max,"LOW",IF(11-MAX(D105:F105)&lt;=watch_max,"WATCH","GOOD")))</f>
        <v/>
      </c>
      <c r="K105" s="15">
        <f>IF(OR($A105="",B105=""),"",IF(B105="Max hangs",COUNTIFS('Hang sets'!$N$3:$N$202,P105),COUNTIFS('Curl sets'!$P$3:$P$202,P105)))</f>
        <v/>
      </c>
      <c r="L105" s="14">
        <f>IF(OR(B105&lt;&gt;"Max hangs",N(K105)=0),"",_xlfn.MAXIFS('Hang sets'!$G$3:$G$202,'Hang sets'!$N$3:$N$202,P105))</f>
        <v/>
      </c>
      <c r="M105" s="14">
        <f>IF(OR(B105&lt;&gt;"Finger curls",N(K105)=0),"",_xlfn.MAXIFS('Curl sets'!$L$3:$L$202,'Curl sets'!$P$3:$P$202,P105))</f>
        <v/>
      </c>
      <c r="N105" s="14">
        <f>IF(OR(B105&lt;&gt;"Finger curls",N(K105)=0),"",_xlfn.MAXIFS('Curl sets'!$M$3:$M$202,'Curl sets'!$P$3:$P$202,P105))</f>
        <v/>
      </c>
      <c r="O105" s="14">
        <f>IF(COUNT(M105,N105)&lt;2,"",ROUND(100*(M105-N105)/MAX(M105,N105),1))</f>
        <v/>
      </c>
      <c r="P105" s="15">
        <f>IF(OR($A105="",B105=""),"",$A105*10+IF(B105="Max hangs",1,2))</f>
        <v/>
      </c>
    </row>
    <row r="106">
      <c r="A106" s="11" t="n"/>
      <c r="C106" s="12" t="n"/>
      <c r="H106" s="13" t="n"/>
      <c r="I106" s="14">
        <f>IF(COUNT(D106:F106)=0,"",ROUND(11-AVERAGE(D106:F106),1))</f>
        <v/>
      </c>
      <c r="J106" s="14">
        <f>IF(COUNT(D106:F106)=0,"",IF(11-MAX(D106:F106)&lt;=low_max,"LOW",IF(11-MAX(D106:F106)&lt;=watch_max,"WATCH","GOOD")))</f>
        <v/>
      </c>
      <c r="K106" s="15">
        <f>IF(OR($A106="",B106=""),"",IF(B106="Max hangs",COUNTIFS('Hang sets'!$N$3:$N$202,P106),COUNTIFS('Curl sets'!$P$3:$P$202,P106)))</f>
        <v/>
      </c>
      <c r="L106" s="14">
        <f>IF(OR(B106&lt;&gt;"Max hangs",N(K106)=0),"",_xlfn.MAXIFS('Hang sets'!$G$3:$G$202,'Hang sets'!$N$3:$N$202,P106))</f>
        <v/>
      </c>
      <c r="M106" s="14">
        <f>IF(OR(B106&lt;&gt;"Finger curls",N(K106)=0),"",_xlfn.MAXIFS('Curl sets'!$L$3:$L$202,'Curl sets'!$P$3:$P$202,P106))</f>
        <v/>
      </c>
      <c r="N106" s="14">
        <f>IF(OR(B106&lt;&gt;"Finger curls",N(K106)=0),"",_xlfn.MAXIFS('Curl sets'!$M$3:$M$202,'Curl sets'!$P$3:$P$202,P106))</f>
        <v/>
      </c>
      <c r="O106" s="14">
        <f>IF(COUNT(M106,N106)&lt;2,"",ROUND(100*(M106-N106)/MAX(M106,N106),1))</f>
        <v/>
      </c>
      <c r="P106" s="15">
        <f>IF(OR($A106="",B106=""),"",$A106*10+IF(B106="Max hangs",1,2))</f>
        <v/>
      </c>
    </row>
    <row r="107">
      <c r="A107" s="11" t="n"/>
      <c r="C107" s="12" t="n"/>
      <c r="H107" s="13" t="n"/>
      <c r="I107" s="14">
        <f>IF(COUNT(D107:F107)=0,"",ROUND(11-AVERAGE(D107:F107),1))</f>
        <v/>
      </c>
      <c r="J107" s="14">
        <f>IF(COUNT(D107:F107)=0,"",IF(11-MAX(D107:F107)&lt;=low_max,"LOW",IF(11-MAX(D107:F107)&lt;=watch_max,"WATCH","GOOD")))</f>
        <v/>
      </c>
      <c r="K107" s="15">
        <f>IF(OR($A107="",B107=""),"",IF(B107="Max hangs",COUNTIFS('Hang sets'!$N$3:$N$202,P107),COUNTIFS('Curl sets'!$P$3:$P$202,P107)))</f>
        <v/>
      </c>
      <c r="L107" s="14">
        <f>IF(OR(B107&lt;&gt;"Max hangs",N(K107)=0),"",_xlfn.MAXIFS('Hang sets'!$G$3:$G$202,'Hang sets'!$N$3:$N$202,P107))</f>
        <v/>
      </c>
      <c r="M107" s="14">
        <f>IF(OR(B107&lt;&gt;"Finger curls",N(K107)=0),"",_xlfn.MAXIFS('Curl sets'!$L$3:$L$202,'Curl sets'!$P$3:$P$202,P107))</f>
        <v/>
      </c>
      <c r="N107" s="14">
        <f>IF(OR(B107&lt;&gt;"Finger curls",N(K107)=0),"",_xlfn.MAXIFS('Curl sets'!$M$3:$M$202,'Curl sets'!$P$3:$P$202,P107))</f>
        <v/>
      </c>
      <c r="O107" s="14">
        <f>IF(COUNT(M107,N107)&lt;2,"",ROUND(100*(M107-N107)/MAX(M107,N107),1))</f>
        <v/>
      </c>
      <c r="P107" s="15">
        <f>IF(OR($A107="",B107=""),"",$A107*10+IF(B107="Max hangs",1,2))</f>
        <v/>
      </c>
    </row>
    <row r="108">
      <c r="A108" s="11" t="n"/>
      <c r="C108" s="12" t="n"/>
      <c r="H108" s="13" t="n"/>
      <c r="I108" s="14">
        <f>IF(COUNT(D108:F108)=0,"",ROUND(11-AVERAGE(D108:F108),1))</f>
        <v/>
      </c>
      <c r="J108" s="14">
        <f>IF(COUNT(D108:F108)=0,"",IF(11-MAX(D108:F108)&lt;=low_max,"LOW",IF(11-MAX(D108:F108)&lt;=watch_max,"WATCH","GOOD")))</f>
        <v/>
      </c>
      <c r="K108" s="15">
        <f>IF(OR($A108="",B108=""),"",IF(B108="Max hangs",COUNTIFS('Hang sets'!$N$3:$N$202,P108),COUNTIFS('Curl sets'!$P$3:$P$202,P108)))</f>
        <v/>
      </c>
      <c r="L108" s="14">
        <f>IF(OR(B108&lt;&gt;"Max hangs",N(K108)=0),"",_xlfn.MAXIFS('Hang sets'!$G$3:$G$202,'Hang sets'!$N$3:$N$202,P108))</f>
        <v/>
      </c>
      <c r="M108" s="14">
        <f>IF(OR(B108&lt;&gt;"Finger curls",N(K108)=0),"",_xlfn.MAXIFS('Curl sets'!$L$3:$L$202,'Curl sets'!$P$3:$P$202,P108))</f>
        <v/>
      </c>
      <c r="N108" s="14">
        <f>IF(OR(B108&lt;&gt;"Finger curls",N(K108)=0),"",_xlfn.MAXIFS('Curl sets'!$M$3:$M$202,'Curl sets'!$P$3:$P$202,P108))</f>
        <v/>
      </c>
      <c r="O108" s="14">
        <f>IF(COUNT(M108,N108)&lt;2,"",ROUND(100*(M108-N108)/MAX(M108,N108),1))</f>
        <v/>
      </c>
      <c r="P108" s="15">
        <f>IF(OR($A108="",B108=""),"",$A108*10+IF(B108="Max hangs",1,2))</f>
        <v/>
      </c>
    </row>
    <row r="109">
      <c r="A109" s="11" t="n"/>
      <c r="C109" s="12" t="n"/>
      <c r="H109" s="13" t="n"/>
      <c r="I109" s="14">
        <f>IF(COUNT(D109:F109)=0,"",ROUND(11-AVERAGE(D109:F109),1))</f>
        <v/>
      </c>
      <c r="J109" s="14">
        <f>IF(COUNT(D109:F109)=0,"",IF(11-MAX(D109:F109)&lt;=low_max,"LOW",IF(11-MAX(D109:F109)&lt;=watch_max,"WATCH","GOOD")))</f>
        <v/>
      </c>
      <c r="K109" s="15">
        <f>IF(OR($A109="",B109=""),"",IF(B109="Max hangs",COUNTIFS('Hang sets'!$N$3:$N$202,P109),COUNTIFS('Curl sets'!$P$3:$P$202,P109)))</f>
        <v/>
      </c>
      <c r="L109" s="14">
        <f>IF(OR(B109&lt;&gt;"Max hangs",N(K109)=0),"",_xlfn.MAXIFS('Hang sets'!$G$3:$G$202,'Hang sets'!$N$3:$N$202,P109))</f>
        <v/>
      </c>
      <c r="M109" s="14">
        <f>IF(OR(B109&lt;&gt;"Finger curls",N(K109)=0),"",_xlfn.MAXIFS('Curl sets'!$L$3:$L$202,'Curl sets'!$P$3:$P$202,P109))</f>
        <v/>
      </c>
      <c r="N109" s="14">
        <f>IF(OR(B109&lt;&gt;"Finger curls",N(K109)=0),"",_xlfn.MAXIFS('Curl sets'!$M$3:$M$202,'Curl sets'!$P$3:$P$202,P109))</f>
        <v/>
      </c>
      <c r="O109" s="14">
        <f>IF(COUNT(M109,N109)&lt;2,"",ROUND(100*(M109-N109)/MAX(M109,N109),1))</f>
        <v/>
      </c>
      <c r="P109" s="15">
        <f>IF(OR($A109="",B109=""),"",$A109*10+IF(B109="Max hangs",1,2))</f>
        <v/>
      </c>
    </row>
    <row r="110">
      <c r="A110" s="11" t="n"/>
      <c r="C110" s="12" t="n"/>
      <c r="H110" s="13" t="n"/>
      <c r="I110" s="14">
        <f>IF(COUNT(D110:F110)=0,"",ROUND(11-AVERAGE(D110:F110),1))</f>
        <v/>
      </c>
      <c r="J110" s="14">
        <f>IF(COUNT(D110:F110)=0,"",IF(11-MAX(D110:F110)&lt;=low_max,"LOW",IF(11-MAX(D110:F110)&lt;=watch_max,"WATCH","GOOD")))</f>
        <v/>
      </c>
      <c r="K110" s="15">
        <f>IF(OR($A110="",B110=""),"",IF(B110="Max hangs",COUNTIFS('Hang sets'!$N$3:$N$202,P110),COUNTIFS('Curl sets'!$P$3:$P$202,P110)))</f>
        <v/>
      </c>
      <c r="L110" s="14">
        <f>IF(OR(B110&lt;&gt;"Max hangs",N(K110)=0),"",_xlfn.MAXIFS('Hang sets'!$G$3:$G$202,'Hang sets'!$N$3:$N$202,P110))</f>
        <v/>
      </c>
      <c r="M110" s="14">
        <f>IF(OR(B110&lt;&gt;"Finger curls",N(K110)=0),"",_xlfn.MAXIFS('Curl sets'!$L$3:$L$202,'Curl sets'!$P$3:$P$202,P110))</f>
        <v/>
      </c>
      <c r="N110" s="14">
        <f>IF(OR(B110&lt;&gt;"Finger curls",N(K110)=0),"",_xlfn.MAXIFS('Curl sets'!$M$3:$M$202,'Curl sets'!$P$3:$P$202,P110))</f>
        <v/>
      </c>
      <c r="O110" s="14">
        <f>IF(COUNT(M110,N110)&lt;2,"",ROUND(100*(M110-N110)/MAX(M110,N110),1))</f>
        <v/>
      </c>
      <c r="P110" s="15">
        <f>IF(OR($A110="",B110=""),"",$A110*10+IF(B110="Max hangs",1,2))</f>
        <v/>
      </c>
    </row>
    <row r="111">
      <c r="A111" s="11" t="n"/>
      <c r="C111" s="12" t="n"/>
      <c r="H111" s="13" t="n"/>
      <c r="I111" s="14">
        <f>IF(COUNT(D111:F111)=0,"",ROUND(11-AVERAGE(D111:F111),1))</f>
        <v/>
      </c>
      <c r="J111" s="14">
        <f>IF(COUNT(D111:F111)=0,"",IF(11-MAX(D111:F111)&lt;=low_max,"LOW",IF(11-MAX(D111:F111)&lt;=watch_max,"WATCH","GOOD")))</f>
        <v/>
      </c>
      <c r="K111" s="15">
        <f>IF(OR($A111="",B111=""),"",IF(B111="Max hangs",COUNTIFS('Hang sets'!$N$3:$N$202,P111),COUNTIFS('Curl sets'!$P$3:$P$202,P111)))</f>
        <v/>
      </c>
      <c r="L111" s="14">
        <f>IF(OR(B111&lt;&gt;"Max hangs",N(K111)=0),"",_xlfn.MAXIFS('Hang sets'!$G$3:$G$202,'Hang sets'!$N$3:$N$202,P111))</f>
        <v/>
      </c>
      <c r="M111" s="14">
        <f>IF(OR(B111&lt;&gt;"Finger curls",N(K111)=0),"",_xlfn.MAXIFS('Curl sets'!$L$3:$L$202,'Curl sets'!$P$3:$P$202,P111))</f>
        <v/>
      </c>
      <c r="N111" s="14">
        <f>IF(OR(B111&lt;&gt;"Finger curls",N(K111)=0),"",_xlfn.MAXIFS('Curl sets'!$M$3:$M$202,'Curl sets'!$P$3:$P$202,P111))</f>
        <v/>
      </c>
      <c r="O111" s="14">
        <f>IF(COUNT(M111,N111)&lt;2,"",ROUND(100*(M111-N111)/MAX(M111,N111),1))</f>
        <v/>
      </c>
      <c r="P111" s="15">
        <f>IF(OR($A111="",B111=""),"",$A111*10+IF(B111="Max hangs",1,2))</f>
        <v/>
      </c>
    </row>
    <row r="112">
      <c r="A112" s="11" t="n"/>
      <c r="C112" s="12" t="n"/>
      <c r="H112" s="13" t="n"/>
      <c r="I112" s="14">
        <f>IF(COUNT(D112:F112)=0,"",ROUND(11-AVERAGE(D112:F112),1))</f>
        <v/>
      </c>
      <c r="J112" s="14">
        <f>IF(COUNT(D112:F112)=0,"",IF(11-MAX(D112:F112)&lt;=low_max,"LOW",IF(11-MAX(D112:F112)&lt;=watch_max,"WATCH","GOOD")))</f>
        <v/>
      </c>
      <c r="K112" s="15">
        <f>IF(OR($A112="",B112=""),"",IF(B112="Max hangs",COUNTIFS('Hang sets'!$N$3:$N$202,P112),COUNTIFS('Curl sets'!$P$3:$P$202,P112)))</f>
        <v/>
      </c>
      <c r="L112" s="14">
        <f>IF(OR(B112&lt;&gt;"Max hangs",N(K112)=0),"",_xlfn.MAXIFS('Hang sets'!$G$3:$G$202,'Hang sets'!$N$3:$N$202,P112))</f>
        <v/>
      </c>
      <c r="M112" s="14">
        <f>IF(OR(B112&lt;&gt;"Finger curls",N(K112)=0),"",_xlfn.MAXIFS('Curl sets'!$L$3:$L$202,'Curl sets'!$P$3:$P$202,P112))</f>
        <v/>
      </c>
      <c r="N112" s="14">
        <f>IF(OR(B112&lt;&gt;"Finger curls",N(K112)=0),"",_xlfn.MAXIFS('Curl sets'!$M$3:$M$202,'Curl sets'!$P$3:$P$202,P112))</f>
        <v/>
      </c>
      <c r="O112" s="14">
        <f>IF(COUNT(M112,N112)&lt;2,"",ROUND(100*(M112-N112)/MAX(M112,N112),1))</f>
        <v/>
      </c>
      <c r="P112" s="15">
        <f>IF(OR($A112="",B112=""),"",$A112*10+IF(B112="Max hangs",1,2))</f>
        <v/>
      </c>
    </row>
    <row r="113">
      <c r="A113" s="11" t="n"/>
      <c r="C113" s="12" t="n"/>
      <c r="H113" s="13" t="n"/>
      <c r="I113" s="14">
        <f>IF(COUNT(D113:F113)=0,"",ROUND(11-AVERAGE(D113:F113),1))</f>
        <v/>
      </c>
      <c r="J113" s="14">
        <f>IF(COUNT(D113:F113)=0,"",IF(11-MAX(D113:F113)&lt;=low_max,"LOW",IF(11-MAX(D113:F113)&lt;=watch_max,"WATCH","GOOD")))</f>
        <v/>
      </c>
      <c r="K113" s="15">
        <f>IF(OR($A113="",B113=""),"",IF(B113="Max hangs",COUNTIFS('Hang sets'!$N$3:$N$202,P113),COUNTIFS('Curl sets'!$P$3:$P$202,P113)))</f>
        <v/>
      </c>
      <c r="L113" s="14">
        <f>IF(OR(B113&lt;&gt;"Max hangs",N(K113)=0),"",_xlfn.MAXIFS('Hang sets'!$G$3:$G$202,'Hang sets'!$N$3:$N$202,P113))</f>
        <v/>
      </c>
      <c r="M113" s="14">
        <f>IF(OR(B113&lt;&gt;"Finger curls",N(K113)=0),"",_xlfn.MAXIFS('Curl sets'!$L$3:$L$202,'Curl sets'!$P$3:$P$202,P113))</f>
        <v/>
      </c>
      <c r="N113" s="14">
        <f>IF(OR(B113&lt;&gt;"Finger curls",N(K113)=0),"",_xlfn.MAXIFS('Curl sets'!$M$3:$M$202,'Curl sets'!$P$3:$P$202,P113))</f>
        <v/>
      </c>
      <c r="O113" s="14">
        <f>IF(COUNT(M113,N113)&lt;2,"",ROUND(100*(M113-N113)/MAX(M113,N113),1))</f>
        <v/>
      </c>
      <c r="P113" s="15">
        <f>IF(OR($A113="",B113=""),"",$A113*10+IF(B113="Max hangs",1,2))</f>
        <v/>
      </c>
    </row>
    <row r="114">
      <c r="A114" s="11" t="n"/>
      <c r="C114" s="12" t="n"/>
      <c r="H114" s="13" t="n"/>
      <c r="I114" s="14">
        <f>IF(COUNT(D114:F114)=0,"",ROUND(11-AVERAGE(D114:F114),1))</f>
        <v/>
      </c>
      <c r="J114" s="14">
        <f>IF(COUNT(D114:F114)=0,"",IF(11-MAX(D114:F114)&lt;=low_max,"LOW",IF(11-MAX(D114:F114)&lt;=watch_max,"WATCH","GOOD")))</f>
        <v/>
      </c>
      <c r="K114" s="15">
        <f>IF(OR($A114="",B114=""),"",IF(B114="Max hangs",COUNTIFS('Hang sets'!$N$3:$N$202,P114),COUNTIFS('Curl sets'!$P$3:$P$202,P114)))</f>
        <v/>
      </c>
      <c r="L114" s="14">
        <f>IF(OR(B114&lt;&gt;"Max hangs",N(K114)=0),"",_xlfn.MAXIFS('Hang sets'!$G$3:$G$202,'Hang sets'!$N$3:$N$202,P114))</f>
        <v/>
      </c>
      <c r="M114" s="14">
        <f>IF(OR(B114&lt;&gt;"Finger curls",N(K114)=0),"",_xlfn.MAXIFS('Curl sets'!$L$3:$L$202,'Curl sets'!$P$3:$P$202,P114))</f>
        <v/>
      </c>
      <c r="N114" s="14">
        <f>IF(OR(B114&lt;&gt;"Finger curls",N(K114)=0),"",_xlfn.MAXIFS('Curl sets'!$M$3:$M$202,'Curl sets'!$P$3:$P$202,P114))</f>
        <v/>
      </c>
      <c r="O114" s="14">
        <f>IF(COUNT(M114,N114)&lt;2,"",ROUND(100*(M114-N114)/MAX(M114,N114),1))</f>
        <v/>
      </c>
      <c r="P114" s="15">
        <f>IF(OR($A114="",B114=""),"",$A114*10+IF(B114="Max hangs",1,2))</f>
        <v/>
      </c>
    </row>
    <row r="115">
      <c r="A115" s="11" t="n"/>
      <c r="C115" s="12" t="n"/>
      <c r="H115" s="13" t="n"/>
      <c r="I115" s="14">
        <f>IF(COUNT(D115:F115)=0,"",ROUND(11-AVERAGE(D115:F115),1))</f>
        <v/>
      </c>
      <c r="J115" s="14">
        <f>IF(COUNT(D115:F115)=0,"",IF(11-MAX(D115:F115)&lt;=low_max,"LOW",IF(11-MAX(D115:F115)&lt;=watch_max,"WATCH","GOOD")))</f>
        <v/>
      </c>
      <c r="K115" s="15">
        <f>IF(OR($A115="",B115=""),"",IF(B115="Max hangs",COUNTIFS('Hang sets'!$N$3:$N$202,P115),COUNTIFS('Curl sets'!$P$3:$P$202,P115)))</f>
        <v/>
      </c>
      <c r="L115" s="14">
        <f>IF(OR(B115&lt;&gt;"Max hangs",N(K115)=0),"",_xlfn.MAXIFS('Hang sets'!$G$3:$G$202,'Hang sets'!$N$3:$N$202,P115))</f>
        <v/>
      </c>
      <c r="M115" s="14">
        <f>IF(OR(B115&lt;&gt;"Finger curls",N(K115)=0),"",_xlfn.MAXIFS('Curl sets'!$L$3:$L$202,'Curl sets'!$P$3:$P$202,P115))</f>
        <v/>
      </c>
      <c r="N115" s="14">
        <f>IF(OR(B115&lt;&gt;"Finger curls",N(K115)=0),"",_xlfn.MAXIFS('Curl sets'!$M$3:$M$202,'Curl sets'!$P$3:$P$202,P115))</f>
        <v/>
      </c>
      <c r="O115" s="14">
        <f>IF(COUNT(M115,N115)&lt;2,"",ROUND(100*(M115-N115)/MAX(M115,N115),1))</f>
        <v/>
      </c>
      <c r="P115" s="15">
        <f>IF(OR($A115="",B115=""),"",$A115*10+IF(B115="Max hangs",1,2))</f>
        <v/>
      </c>
    </row>
    <row r="116">
      <c r="A116" s="11" t="n"/>
      <c r="C116" s="12" t="n"/>
      <c r="H116" s="13" t="n"/>
      <c r="I116" s="14">
        <f>IF(COUNT(D116:F116)=0,"",ROUND(11-AVERAGE(D116:F116),1))</f>
        <v/>
      </c>
      <c r="J116" s="14">
        <f>IF(COUNT(D116:F116)=0,"",IF(11-MAX(D116:F116)&lt;=low_max,"LOW",IF(11-MAX(D116:F116)&lt;=watch_max,"WATCH","GOOD")))</f>
        <v/>
      </c>
      <c r="K116" s="15">
        <f>IF(OR($A116="",B116=""),"",IF(B116="Max hangs",COUNTIFS('Hang sets'!$N$3:$N$202,P116),COUNTIFS('Curl sets'!$P$3:$P$202,P116)))</f>
        <v/>
      </c>
      <c r="L116" s="14">
        <f>IF(OR(B116&lt;&gt;"Max hangs",N(K116)=0),"",_xlfn.MAXIFS('Hang sets'!$G$3:$G$202,'Hang sets'!$N$3:$N$202,P116))</f>
        <v/>
      </c>
      <c r="M116" s="14">
        <f>IF(OR(B116&lt;&gt;"Finger curls",N(K116)=0),"",_xlfn.MAXIFS('Curl sets'!$L$3:$L$202,'Curl sets'!$P$3:$P$202,P116))</f>
        <v/>
      </c>
      <c r="N116" s="14">
        <f>IF(OR(B116&lt;&gt;"Finger curls",N(K116)=0),"",_xlfn.MAXIFS('Curl sets'!$M$3:$M$202,'Curl sets'!$P$3:$P$202,P116))</f>
        <v/>
      </c>
      <c r="O116" s="14">
        <f>IF(COUNT(M116,N116)&lt;2,"",ROUND(100*(M116-N116)/MAX(M116,N116),1))</f>
        <v/>
      </c>
      <c r="P116" s="15">
        <f>IF(OR($A116="",B116=""),"",$A116*10+IF(B116="Max hangs",1,2))</f>
        <v/>
      </c>
    </row>
    <row r="117">
      <c r="A117" s="11" t="n"/>
      <c r="C117" s="12" t="n"/>
      <c r="H117" s="13" t="n"/>
      <c r="I117" s="14">
        <f>IF(COUNT(D117:F117)=0,"",ROUND(11-AVERAGE(D117:F117),1))</f>
        <v/>
      </c>
      <c r="J117" s="14">
        <f>IF(COUNT(D117:F117)=0,"",IF(11-MAX(D117:F117)&lt;=low_max,"LOW",IF(11-MAX(D117:F117)&lt;=watch_max,"WATCH","GOOD")))</f>
        <v/>
      </c>
      <c r="K117" s="15">
        <f>IF(OR($A117="",B117=""),"",IF(B117="Max hangs",COUNTIFS('Hang sets'!$N$3:$N$202,P117),COUNTIFS('Curl sets'!$P$3:$P$202,P117)))</f>
        <v/>
      </c>
      <c r="L117" s="14">
        <f>IF(OR(B117&lt;&gt;"Max hangs",N(K117)=0),"",_xlfn.MAXIFS('Hang sets'!$G$3:$G$202,'Hang sets'!$N$3:$N$202,P117))</f>
        <v/>
      </c>
      <c r="M117" s="14">
        <f>IF(OR(B117&lt;&gt;"Finger curls",N(K117)=0),"",_xlfn.MAXIFS('Curl sets'!$L$3:$L$202,'Curl sets'!$P$3:$P$202,P117))</f>
        <v/>
      </c>
      <c r="N117" s="14">
        <f>IF(OR(B117&lt;&gt;"Finger curls",N(K117)=0),"",_xlfn.MAXIFS('Curl sets'!$M$3:$M$202,'Curl sets'!$P$3:$P$202,P117))</f>
        <v/>
      </c>
      <c r="O117" s="14">
        <f>IF(COUNT(M117,N117)&lt;2,"",ROUND(100*(M117-N117)/MAX(M117,N117),1))</f>
        <v/>
      </c>
      <c r="P117" s="15">
        <f>IF(OR($A117="",B117=""),"",$A117*10+IF(B117="Max hangs",1,2))</f>
        <v/>
      </c>
    </row>
    <row r="118">
      <c r="A118" s="11" t="n"/>
      <c r="C118" s="12" t="n"/>
      <c r="H118" s="13" t="n"/>
      <c r="I118" s="14">
        <f>IF(COUNT(D118:F118)=0,"",ROUND(11-AVERAGE(D118:F118),1))</f>
        <v/>
      </c>
      <c r="J118" s="14">
        <f>IF(COUNT(D118:F118)=0,"",IF(11-MAX(D118:F118)&lt;=low_max,"LOW",IF(11-MAX(D118:F118)&lt;=watch_max,"WATCH","GOOD")))</f>
        <v/>
      </c>
      <c r="K118" s="15">
        <f>IF(OR($A118="",B118=""),"",IF(B118="Max hangs",COUNTIFS('Hang sets'!$N$3:$N$202,P118),COUNTIFS('Curl sets'!$P$3:$P$202,P118)))</f>
        <v/>
      </c>
      <c r="L118" s="14">
        <f>IF(OR(B118&lt;&gt;"Max hangs",N(K118)=0),"",_xlfn.MAXIFS('Hang sets'!$G$3:$G$202,'Hang sets'!$N$3:$N$202,P118))</f>
        <v/>
      </c>
      <c r="M118" s="14">
        <f>IF(OR(B118&lt;&gt;"Finger curls",N(K118)=0),"",_xlfn.MAXIFS('Curl sets'!$L$3:$L$202,'Curl sets'!$P$3:$P$202,P118))</f>
        <v/>
      </c>
      <c r="N118" s="14">
        <f>IF(OR(B118&lt;&gt;"Finger curls",N(K118)=0),"",_xlfn.MAXIFS('Curl sets'!$M$3:$M$202,'Curl sets'!$P$3:$P$202,P118))</f>
        <v/>
      </c>
      <c r="O118" s="14">
        <f>IF(COUNT(M118,N118)&lt;2,"",ROUND(100*(M118-N118)/MAX(M118,N118),1))</f>
        <v/>
      </c>
      <c r="P118" s="15">
        <f>IF(OR($A118="",B118=""),"",$A118*10+IF(B118="Max hangs",1,2))</f>
        <v/>
      </c>
    </row>
    <row r="119">
      <c r="A119" s="11" t="n"/>
      <c r="C119" s="12" t="n"/>
      <c r="H119" s="13" t="n"/>
      <c r="I119" s="14">
        <f>IF(COUNT(D119:F119)=0,"",ROUND(11-AVERAGE(D119:F119),1))</f>
        <v/>
      </c>
      <c r="J119" s="14">
        <f>IF(COUNT(D119:F119)=0,"",IF(11-MAX(D119:F119)&lt;=low_max,"LOW",IF(11-MAX(D119:F119)&lt;=watch_max,"WATCH","GOOD")))</f>
        <v/>
      </c>
      <c r="K119" s="15">
        <f>IF(OR($A119="",B119=""),"",IF(B119="Max hangs",COUNTIFS('Hang sets'!$N$3:$N$202,P119),COUNTIFS('Curl sets'!$P$3:$P$202,P119)))</f>
        <v/>
      </c>
      <c r="L119" s="14">
        <f>IF(OR(B119&lt;&gt;"Max hangs",N(K119)=0),"",_xlfn.MAXIFS('Hang sets'!$G$3:$G$202,'Hang sets'!$N$3:$N$202,P119))</f>
        <v/>
      </c>
      <c r="M119" s="14">
        <f>IF(OR(B119&lt;&gt;"Finger curls",N(K119)=0),"",_xlfn.MAXIFS('Curl sets'!$L$3:$L$202,'Curl sets'!$P$3:$P$202,P119))</f>
        <v/>
      </c>
      <c r="N119" s="14">
        <f>IF(OR(B119&lt;&gt;"Finger curls",N(K119)=0),"",_xlfn.MAXIFS('Curl sets'!$M$3:$M$202,'Curl sets'!$P$3:$P$202,P119))</f>
        <v/>
      </c>
      <c r="O119" s="14">
        <f>IF(COUNT(M119,N119)&lt;2,"",ROUND(100*(M119-N119)/MAX(M119,N119),1))</f>
        <v/>
      </c>
      <c r="P119" s="15">
        <f>IF(OR($A119="",B119=""),"",$A119*10+IF(B119="Max hangs",1,2))</f>
        <v/>
      </c>
    </row>
    <row r="120">
      <c r="A120" s="11" t="n"/>
      <c r="C120" s="12" t="n"/>
      <c r="H120" s="13" t="n"/>
      <c r="I120" s="14">
        <f>IF(COUNT(D120:F120)=0,"",ROUND(11-AVERAGE(D120:F120),1))</f>
        <v/>
      </c>
      <c r="J120" s="14">
        <f>IF(COUNT(D120:F120)=0,"",IF(11-MAX(D120:F120)&lt;=low_max,"LOW",IF(11-MAX(D120:F120)&lt;=watch_max,"WATCH","GOOD")))</f>
        <v/>
      </c>
      <c r="K120" s="15">
        <f>IF(OR($A120="",B120=""),"",IF(B120="Max hangs",COUNTIFS('Hang sets'!$N$3:$N$202,P120),COUNTIFS('Curl sets'!$P$3:$P$202,P120)))</f>
        <v/>
      </c>
      <c r="L120" s="14">
        <f>IF(OR(B120&lt;&gt;"Max hangs",N(K120)=0),"",_xlfn.MAXIFS('Hang sets'!$G$3:$G$202,'Hang sets'!$N$3:$N$202,P120))</f>
        <v/>
      </c>
      <c r="M120" s="14">
        <f>IF(OR(B120&lt;&gt;"Finger curls",N(K120)=0),"",_xlfn.MAXIFS('Curl sets'!$L$3:$L$202,'Curl sets'!$P$3:$P$202,P120))</f>
        <v/>
      </c>
      <c r="N120" s="14">
        <f>IF(OR(B120&lt;&gt;"Finger curls",N(K120)=0),"",_xlfn.MAXIFS('Curl sets'!$M$3:$M$202,'Curl sets'!$P$3:$P$202,P120))</f>
        <v/>
      </c>
      <c r="O120" s="14">
        <f>IF(COUNT(M120,N120)&lt;2,"",ROUND(100*(M120-N120)/MAX(M120,N120),1))</f>
        <v/>
      </c>
      <c r="P120" s="15">
        <f>IF(OR($A120="",B120=""),"",$A120*10+IF(B120="Max hangs",1,2))</f>
        <v/>
      </c>
    </row>
    <row r="121">
      <c r="A121" s="11" t="n"/>
      <c r="C121" s="12" t="n"/>
      <c r="H121" s="13" t="n"/>
      <c r="I121" s="14">
        <f>IF(COUNT(D121:F121)=0,"",ROUND(11-AVERAGE(D121:F121),1))</f>
        <v/>
      </c>
      <c r="J121" s="14">
        <f>IF(COUNT(D121:F121)=0,"",IF(11-MAX(D121:F121)&lt;=low_max,"LOW",IF(11-MAX(D121:F121)&lt;=watch_max,"WATCH","GOOD")))</f>
        <v/>
      </c>
      <c r="K121" s="15">
        <f>IF(OR($A121="",B121=""),"",IF(B121="Max hangs",COUNTIFS('Hang sets'!$N$3:$N$202,P121),COUNTIFS('Curl sets'!$P$3:$P$202,P121)))</f>
        <v/>
      </c>
      <c r="L121" s="14">
        <f>IF(OR(B121&lt;&gt;"Max hangs",N(K121)=0),"",_xlfn.MAXIFS('Hang sets'!$G$3:$G$202,'Hang sets'!$N$3:$N$202,P121))</f>
        <v/>
      </c>
      <c r="M121" s="14">
        <f>IF(OR(B121&lt;&gt;"Finger curls",N(K121)=0),"",_xlfn.MAXIFS('Curl sets'!$L$3:$L$202,'Curl sets'!$P$3:$P$202,P121))</f>
        <v/>
      </c>
      <c r="N121" s="14">
        <f>IF(OR(B121&lt;&gt;"Finger curls",N(K121)=0),"",_xlfn.MAXIFS('Curl sets'!$M$3:$M$202,'Curl sets'!$P$3:$P$202,P121))</f>
        <v/>
      </c>
      <c r="O121" s="14">
        <f>IF(COUNT(M121,N121)&lt;2,"",ROUND(100*(M121-N121)/MAX(M121,N121),1))</f>
        <v/>
      </c>
      <c r="P121" s="15">
        <f>IF(OR($A121="",B121=""),"",$A121*10+IF(B121="Max hangs",1,2))</f>
        <v/>
      </c>
    </row>
    <row r="122">
      <c r="A122" s="11" t="n"/>
      <c r="C122" s="12" t="n"/>
      <c r="H122" s="13" t="n"/>
      <c r="I122" s="14">
        <f>IF(COUNT(D122:F122)=0,"",ROUND(11-AVERAGE(D122:F122),1))</f>
        <v/>
      </c>
      <c r="J122" s="14">
        <f>IF(COUNT(D122:F122)=0,"",IF(11-MAX(D122:F122)&lt;=low_max,"LOW",IF(11-MAX(D122:F122)&lt;=watch_max,"WATCH","GOOD")))</f>
        <v/>
      </c>
      <c r="K122" s="15">
        <f>IF(OR($A122="",B122=""),"",IF(B122="Max hangs",COUNTIFS('Hang sets'!$N$3:$N$202,P122),COUNTIFS('Curl sets'!$P$3:$P$202,P122)))</f>
        <v/>
      </c>
      <c r="L122" s="14">
        <f>IF(OR(B122&lt;&gt;"Max hangs",N(K122)=0),"",_xlfn.MAXIFS('Hang sets'!$G$3:$G$202,'Hang sets'!$N$3:$N$202,P122))</f>
        <v/>
      </c>
      <c r="M122" s="14">
        <f>IF(OR(B122&lt;&gt;"Finger curls",N(K122)=0),"",_xlfn.MAXIFS('Curl sets'!$L$3:$L$202,'Curl sets'!$P$3:$P$202,P122))</f>
        <v/>
      </c>
      <c r="N122" s="14">
        <f>IF(OR(B122&lt;&gt;"Finger curls",N(K122)=0),"",_xlfn.MAXIFS('Curl sets'!$M$3:$M$202,'Curl sets'!$P$3:$P$202,P122))</f>
        <v/>
      </c>
      <c r="O122" s="14">
        <f>IF(COUNT(M122,N122)&lt;2,"",ROUND(100*(M122-N122)/MAX(M122,N122),1))</f>
        <v/>
      </c>
      <c r="P122" s="15">
        <f>IF(OR($A122="",B122=""),"",$A122*10+IF(B122="Max hangs",1,2))</f>
        <v/>
      </c>
    </row>
    <row r="123">
      <c r="A123" s="11" t="n"/>
      <c r="C123" s="12" t="n"/>
      <c r="H123" s="13" t="n"/>
      <c r="I123" s="14">
        <f>IF(COUNT(D123:F123)=0,"",ROUND(11-AVERAGE(D123:F123),1))</f>
        <v/>
      </c>
      <c r="J123" s="14">
        <f>IF(COUNT(D123:F123)=0,"",IF(11-MAX(D123:F123)&lt;=low_max,"LOW",IF(11-MAX(D123:F123)&lt;=watch_max,"WATCH","GOOD")))</f>
        <v/>
      </c>
      <c r="K123" s="15">
        <f>IF(OR($A123="",B123=""),"",IF(B123="Max hangs",COUNTIFS('Hang sets'!$N$3:$N$202,P123),COUNTIFS('Curl sets'!$P$3:$P$202,P123)))</f>
        <v/>
      </c>
      <c r="L123" s="14">
        <f>IF(OR(B123&lt;&gt;"Max hangs",N(K123)=0),"",_xlfn.MAXIFS('Hang sets'!$G$3:$G$202,'Hang sets'!$N$3:$N$202,P123))</f>
        <v/>
      </c>
      <c r="M123" s="14">
        <f>IF(OR(B123&lt;&gt;"Finger curls",N(K123)=0),"",_xlfn.MAXIFS('Curl sets'!$L$3:$L$202,'Curl sets'!$P$3:$P$202,P123))</f>
        <v/>
      </c>
      <c r="N123" s="14">
        <f>IF(OR(B123&lt;&gt;"Finger curls",N(K123)=0),"",_xlfn.MAXIFS('Curl sets'!$M$3:$M$202,'Curl sets'!$P$3:$P$202,P123))</f>
        <v/>
      </c>
      <c r="O123" s="14">
        <f>IF(COUNT(M123,N123)&lt;2,"",ROUND(100*(M123-N123)/MAX(M123,N123),1))</f>
        <v/>
      </c>
      <c r="P123" s="15">
        <f>IF(OR($A123="",B123=""),"",$A123*10+IF(B123="Max hangs",1,2))</f>
        <v/>
      </c>
    </row>
    <row r="124">
      <c r="A124" s="11" t="n"/>
      <c r="C124" s="12" t="n"/>
      <c r="H124" s="13" t="n"/>
      <c r="I124" s="14">
        <f>IF(COUNT(D124:F124)=0,"",ROUND(11-AVERAGE(D124:F124),1))</f>
        <v/>
      </c>
      <c r="J124" s="14">
        <f>IF(COUNT(D124:F124)=0,"",IF(11-MAX(D124:F124)&lt;=low_max,"LOW",IF(11-MAX(D124:F124)&lt;=watch_max,"WATCH","GOOD")))</f>
        <v/>
      </c>
      <c r="K124" s="15">
        <f>IF(OR($A124="",B124=""),"",IF(B124="Max hangs",COUNTIFS('Hang sets'!$N$3:$N$202,P124),COUNTIFS('Curl sets'!$P$3:$P$202,P124)))</f>
        <v/>
      </c>
      <c r="L124" s="14">
        <f>IF(OR(B124&lt;&gt;"Max hangs",N(K124)=0),"",_xlfn.MAXIFS('Hang sets'!$G$3:$G$202,'Hang sets'!$N$3:$N$202,P124))</f>
        <v/>
      </c>
      <c r="M124" s="14">
        <f>IF(OR(B124&lt;&gt;"Finger curls",N(K124)=0),"",_xlfn.MAXIFS('Curl sets'!$L$3:$L$202,'Curl sets'!$P$3:$P$202,P124))</f>
        <v/>
      </c>
      <c r="N124" s="14">
        <f>IF(OR(B124&lt;&gt;"Finger curls",N(K124)=0),"",_xlfn.MAXIFS('Curl sets'!$M$3:$M$202,'Curl sets'!$P$3:$P$202,P124))</f>
        <v/>
      </c>
      <c r="O124" s="14">
        <f>IF(COUNT(M124,N124)&lt;2,"",ROUND(100*(M124-N124)/MAX(M124,N124),1))</f>
        <v/>
      </c>
      <c r="P124" s="15">
        <f>IF(OR($A124="",B124=""),"",$A124*10+IF(B124="Max hangs",1,2))</f>
        <v/>
      </c>
    </row>
    <row r="125">
      <c r="A125" s="11" t="n"/>
      <c r="C125" s="12" t="n"/>
      <c r="H125" s="13" t="n"/>
      <c r="I125" s="14">
        <f>IF(COUNT(D125:F125)=0,"",ROUND(11-AVERAGE(D125:F125),1))</f>
        <v/>
      </c>
      <c r="J125" s="14">
        <f>IF(COUNT(D125:F125)=0,"",IF(11-MAX(D125:F125)&lt;=low_max,"LOW",IF(11-MAX(D125:F125)&lt;=watch_max,"WATCH","GOOD")))</f>
        <v/>
      </c>
      <c r="K125" s="15">
        <f>IF(OR($A125="",B125=""),"",IF(B125="Max hangs",COUNTIFS('Hang sets'!$N$3:$N$202,P125),COUNTIFS('Curl sets'!$P$3:$P$202,P125)))</f>
        <v/>
      </c>
      <c r="L125" s="14">
        <f>IF(OR(B125&lt;&gt;"Max hangs",N(K125)=0),"",_xlfn.MAXIFS('Hang sets'!$G$3:$G$202,'Hang sets'!$N$3:$N$202,P125))</f>
        <v/>
      </c>
      <c r="M125" s="14">
        <f>IF(OR(B125&lt;&gt;"Finger curls",N(K125)=0),"",_xlfn.MAXIFS('Curl sets'!$L$3:$L$202,'Curl sets'!$P$3:$P$202,P125))</f>
        <v/>
      </c>
      <c r="N125" s="14">
        <f>IF(OR(B125&lt;&gt;"Finger curls",N(K125)=0),"",_xlfn.MAXIFS('Curl sets'!$M$3:$M$202,'Curl sets'!$P$3:$P$202,P125))</f>
        <v/>
      </c>
      <c r="O125" s="14">
        <f>IF(COUNT(M125,N125)&lt;2,"",ROUND(100*(M125-N125)/MAX(M125,N125),1))</f>
        <v/>
      </c>
      <c r="P125" s="15">
        <f>IF(OR($A125="",B125=""),"",$A125*10+IF(B125="Max hangs",1,2))</f>
        <v/>
      </c>
    </row>
    <row r="126">
      <c r="A126" s="11" t="n"/>
      <c r="C126" s="12" t="n"/>
      <c r="H126" s="13" t="n"/>
      <c r="I126" s="14">
        <f>IF(COUNT(D126:F126)=0,"",ROUND(11-AVERAGE(D126:F126),1))</f>
        <v/>
      </c>
      <c r="J126" s="14">
        <f>IF(COUNT(D126:F126)=0,"",IF(11-MAX(D126:F126)&lt;=low_max,"LOW",IF(11-MAX(D126:F126)&lt;=watch_max,"WATCH","GOOD")))</f>
        <v/>
      </c>
      <c r="K126" s="15">
        <f>IF(OR($A126="",B126=""),"",IF(B126="Max hangs",COUNTIFS('Hang sets'!$N$3:$N$202,P126),COUNTIFS('Curl sets'!$P$3:$P$202,P126)))</f>
        <v/>
      </c>
      <c r="L126" s="14">
        <f>IF(OR(B126&lt;&gt;"Max hangs",N(K126)=0),"",_xlfn.MAXIFS('Hang sets'!$G$3:$G$202,'Hang sets'!$N$3:$N$202,P126))</f>
        <v/>
      </c>
      <c r="M126" s="14">
        <f>IF(OR(B126&lt;&gt;"Finger curls",N(K126)=0),"",_xlfn.MAXIFS('Curl sets'!$L$3:$L$202,'Curl sets'!$P$3:$P$202,P126))</f>
        <v/>
      </c>
      <c r="N126" s="14">
        <f>IF(OR(B126&lt;&gt;"Finger curls",N(K126)=0),"",_xlfn.MAXIFS('Curl sets'!$M$3:$M$202,'Curl sets'!$P$3:$P$202,P126))</f>
        <v/>
      </c>
      <c r="O126" s="14">
        <f>IF(COUNT(M126,N126)&lt;2,"",ROUND(100*(M126-N126)/MAX(M126,N126),1))</f>
        <v/>
      </c>
      <c r="P126" s="15">
        <f>IF(OR($A126="",B126=""),"",$A126*10+IF(B126="Max hangs",1,2))</f>
        <v/>
      </c>
    </row>
    <row r="127">
      <c r="A127" s="11" t="n"/>
      <c r="C127" s="12" t="n"/>
      <c r="H127" s="13" t="n"/>
      <c r="I127" s="14">
        <f>IF(COUNT(D127:F127)=0,"",ROUND(11-AVERAGE(D127:F127),1))</f>
        <v/>
      </c>
      <c r="J127" s="14">
        <f>IF(COUNT(D127:F127)=0,"",IF(11-MAX(D127:F127)&lt;=low_max,"LOW",IF(11-MAX(D127:F127)&lt;=watch_max,"WATCH","GOOD")))</f>
        <v/>
      </c>
      <c r="K127" s="15">
        <f>IF(OR($A127="",B127=""),"",IF(B127="Max hangs",COUNTIFS('Hang sets'!$N$3:$N$202,P127),COUNTIFS('Curl sets'!$P$3:$P$202,P127)))</f>
        <v/>
      </c>
      <c r="L127" s="14">
        <f>IF(OR(B127&lt;&gt;"Max hangs",N(K127)=0),"",_xlfn.MAXIFS('Hang sets'!$G$3:$G$202,'Hang sets'!$N$3:$N$202,P127))</f>
        <v/>
      </c>
      <c r="M127" s="14">
        <f>IF(OR(B127&lt;&gt;"Finger curls",N(K127)=0),"",_xlfn.MAXIFS('Curl sets'!$L$3:$L$202,'Curl sets'!$P$3:$P$202,P127))</f>
        <v/>
      </c>
      <c r="N127" s="14">
        <f>IF(OR(B127&lt;&gt;"Finger curls",N(K127)=0),"",_xlfn.MAXIFS('Curl sets'!$M$3:$M$202,'Curl sets'!$P$3:$P$202,P127))</f>
        <v/>
      </c>
      <c r="O127" s="14">
        <f>IF(COUNT(M127,N127)&lt;2,"",ROUND(100*(M127-N127)/MAX(M127,N127),1))</f>
        <v/>
      </c>
      <c r="P127" s="15">
        <f>IF(OR($A127="",B127=""),"",$A127*10+IF(B127="Max hangs",1,2))</f>
        <v/>
      </c>
    </row>
    <row r="128">
      <c r="A128" s="11" t="n"/>
      <c r="C128" s="12" t="n"/>
      <c r="H128" s="13" t="n"/>
      <c r="I128" s="14">
        <f>IF(COUNT(D128:F128)=0,"",ROUND(11-AVERAGE(D128:F128),1))</f>
        <v/>
      </c>
      <c r="J128" s="14">
        <f>IF(COUNT(D128:F128)=0,"",IF(11-MAX(D128:F128)&lt;=low_max,"LOW",IF(11-MAX(D128:F128)&lt;=watch_max,"WATCH","GOOD")))</f>
        <v/>
      </c>
      <c r="K128" s="15">
        <f>IF(OR($A128="",B128=""),"",IF(B128="Max hangs",COUNTIFS('Hang sets'!$N$3:$N$202,P128),COUNTIFS('Curl sets'!$P$3:$P$202,P128)))</f>
        <v/>
      </c>
      <c r="L128" s="14">
        <f>IF(OR(B128&lt;&gt;"Max hangs",N(K128)=0),"",_xlfn.MAXIFS('Hang sets'!$G$3:$G$202,'Hang sets'!$N$3:$N$202,P128))</f>
        <v/>
      </c>
      <c r="M128" s="14">
        <f>IF(OR(B128&lt;&gt;"Finger curls",N(K128)=0),"",_xlfn.MAXIFS('Curl sets'!$L$3:$L$202,'Curl sets'!$P$3:$P$202,P128))</f>
        <v/>
      </c>
      <c r="N128" s="14">
        <f>IF(OR(B128&lt;&gt;"Finger curls",N(K128)=0),"",_xlfn.MAXIFS('Curl sets'!$M$3:$M$202,'Curl sets'!$P$3:$P$202,P128))</f>
        <v/>
      </c>
      <c r="O128" s="14">
        <f>IF(COUNT(M128,N128)&lt;2,"",ROUND(100*(M128-N128)/MAX(M128,N128),1))</f>
        <v/>
      </c>
      <c r="P128" s="15">
        <f>IF(OR($A128="",B128=""),"",$A128*10+IF(B128="Max hangs",1,2))</f>
        <v/>
      </c>
    </row>
    <row r="129">
      <c r="A129" s="11" t="n"/>
      <c r="C129" s="12" t="n"/>
      <c r="H129" s="13" t="n"/>
      <c r="I129" s="14">
        <f>IF(COUNT(D129:F129)=0,"",ROUND(11-AVERAGE(D129:F129),1))</f>
        <v/>
      </c>
      <c r="J129" s="14">
        <f>IF(COUNT(D129:F129)=0,"",IF(11-MAX(D129:F129)&lt;=low_max,"LOW",IF(11-MAX(D129:F129)&lt;=watch_max,"WATCH","GOOD")))</f>
        <v/>
      </c>
      <c r="K129" s="15">
        <f>IF(OR($A129="",B129=""),"",IF(B129="Max hangs",COUNTIFS('Hang sets'!$N$3:$N$202,P129),COUNTIFS('Curl sets'!$P$3:$P$202,P129)))</f>
        <v/>
      </c>
      <c r="L129" s="14">
        <f>IF(OR(B129&lt;&gt;"Max hangs",N(K129)=0),"",_xlfn.MAXIFS('Hang sets'!$G$3:$G$202,'Hang sets'!$N$3:$N$202,P129))</f>
        <v/>
      </c>
      <c r="M129" s="14">
        <f>IF(OR(B129&lt;&gt;"Finger curls",N(K129)=0),"",_xlfn.MAXIFS('Curl sets'!$L$3:$L$202,'Curl sets'!$P$3:$P$202,P129))</f>
        <v/>
      </c>
      <c r="N129" s="14">
        <f>IF(OR(B129&lt;&gt;"Finger curls",N(K129)=0),"",_xlfn.MAXIFS('Curl sets'!$M$3:$M$202,'Curl sets'!$P$3:$P$202,P129))</f>
        <v/>
      </c>
      <c r="O129" s="14">
        <f>IF(COUNT(M129,N129)&lt;2,"",ROUND(100*(M129-N129)/MAX(M129,N129),1))</f>
        <v/>
      </c>
      <c r="P129" s="15">
        <f>IF(OR($A129="",B129=""),"",$A129*10+IF(B129="Max hangs",1,2))</f>
        <v/>
      </c>
    </row>
    <row r="130">
      <c r="A130" s="11" t="n"/>
      <c r="C130" s="12" t="n"/>
      <c r="H130" s="13" t="n"/>
      <c r="I130" s="14">
        <f>IF(COUNT(D130:F130)=0,"",ROUND(11-AVERAGE(D130:F130),1))</f>
        <v/>
      </c>
      <c r="J130" s="14">
        <f>IF(COUNT(D130:F130)=0,"",IF(11-MAX(D130:F130)&lt;=low_max,"LOW",IF(11-MAX(D130:F130)&lt;=watch_max,"WATCH","GOOD")))</f>
        <v/>
      </c>
      <c r="K130" s="15">
        <f>IF(OR($A130="",B130=""),"",IF(B130="Max hangs",COUNTIFS('Hang sets'!$N$3:$N$202,P130),COUNTIFS('Curl sets'!$P$3:$P$202,P130)))</f>
        <v/>
      </c>
      <c r="L130" s="14">
        <f>IF(OR(B130&lt;&gt;"Max hangs",N(K130)=0),"",_xlfn.MAXIFS('Hang sets'!$G$3:$G$202,'Hang sets'!$N$3:$N$202,P130))</f>
        <v/>
      </c>
      <c r="M130" s="14">
        <f>IF(OR(B130&lt;&gt;"Finger curls",N(K130)=0),"",_xlfn.MAXIFS('Curl sets'!$L$3:$L$202,'Curl sets'!$P$3:$P$202,P130))</f>
        <v/>
      </c>
      <c r="N130" s="14">
        <f>IF(OR(B130&lt;&gt;"Finger curls",N(K130)=0),"",_xlfn.MAXIFS('Curl sets'!$M$3:$M$202,'Curl sets'!$P$3:$P$202,P130))</f>
        <v/>
      </c>
      <c r="O130" s="14">
        <f>IF(COUNT(M130,N130)&lt;2,"",ROUND(100*(M130-N130)/MAX(M130,N130),1))</f>
        <v/>
      </c>
      <c r="P130" s="15">
        <f>IF(OR($A130="",B130=""),"",$A130*10+IF(B130="Max hangs",1,2))</f>
        <v/>
      </c>
    </row>
    <row r="131">
      <c r="A131" s="11" t="n"/>
      <c r="C131" s="12" t="n"/>
      <c r="H131" s="13" t="n"/>
      <c r="I131" s="14">
        <f>IF(COUNT(D131:F131)=0,"",ROUND(11-AVERAGE(D131:F131),1))</f>
        <v/>
      </c>
      <c r="J131" s="14">
        <f>IF(COUNT(D131:F131)=0,"",IF(11-MAX(D131:F131)&lt;=low_max,"LOW",IF(11-MAX(D131:F131)&lt;=watch_max,"WATCH","GOOD")))</f>
        <v/>
      </c>
      <c r="K131" s="15">
        <f>IF(OR($A131="",B131=""),"",IF(B131="Max hangs",COUNTIFS('Hang sets'!$N$3:$N$202,P131),COUNTIFS('Curl sets'!$P$3:$P$202,P131)))</f>
        <v/>
      </c>
      <c r="L131" s="14">
        <f>IF(OR(B131&lt;&gt;"Max hangs",N(K131)=0),"",_xlfn.MAXIFS('Hang sets'!$G$3:$G$202,'Hang sets'!$N$3:$N$202,P131))</f>
        <v/>
      </c>
      <c r="M131" s="14">
        <f>IF(OR(B131&lt;&gt;"Finger curls",N(K131)=0),"",_xlfn.MAXIFS('Curl sets'!$L$3:$L$202,'Curl sets'!$P$3:$P$202,P131))</f>
        <v/>
      </c>
      <c r="N131" s="14">
        <f>IF(OR(B131&lt;&gt;"Finger curls",N(K131)=0),"",_xlfn.MAXIFS('Curl sets'!$M$3:$M$202,'Curl sets'!$P$3:$P$202,P131))</f>
        <v/>
      </c>
      <c r="O131" s="14">
        <f>IF(COUNT(M131,N131)&lt;2,"",ROUND(100*(M131-N131)/MAX(M131,N131),1))</f>
        <v/>
      </c>
      <c r="P131" s="15">
        <f>IF(OR($A131="",B131=""),"",$A131*10+IF(B131="Max hangs",1,2))</f>
        <v/>
      </c>
    </row>
    <row r="132">
      <c r="A132" s="11" t="n"/>
      <c r="C132" s="12" t="n"/>
      <c r="H132" s="13" t="n"/>
      <c r="I132" s="14">
        <f>IF(COUNT(D132:F132)=0,"",ROUND(11-AVERAGE(D132:F132),1))</f>
        <v/>
      </c>
      <c r="J132" s="14">
        <f>IF(COUNT(D132:F132)=0,"",IF(11-MAX(D132:F132)&lt;=low_max,"LOW",IF(11-MAX(D132:F132)&lt;=watch_max,"WATCH","GOOD")))</f>
        <v/>
      </c>
      <c r="K132" s="15">
        <f>IF(OR($A132="",B132=""),"",IF(B132="Max hangs",COUNTIFS('Hang sets'!$N$3:$N$202,P132),COUNTIFS('Curl sets'!$P$3:$P$202,P132)))</f>
        <v/>
      </c>
      <c r="L132" s="14">
        <f>IF(OR(B132&lt;&gt;"Max hangs",N(K132)=0),"",_xlfn.MAXIFS('Hang sets'!$G$3:$G$202,'Hang sets'!$N$3:$N$202,P132))</f>
        <v/>
      </c>
      <c r="M132" s="14">
        <f>IF(OR(B132&lt;&gt;"Finger curls",N(K132)=0),"",_xlfn.MAXIFS('Curl sets'!$L$3:$L$202,'Curl sets'!$P$3:$P$202,P132))</f>
        <v/>
      </c>
      <c r="N132" s="14">
        <f>IF(OR(B132&lt;&gt;"Finger curls",N(K132)=0),"",_xlfn.MAXIFS('Curl sets'!$M$3:$M$202,'Curl sets'!$P$3:$P$202,P132))</f>
        <v/>
      </c>
      <c r="O132" s="14">
        <f>IF(COUNT(M132,N132)&lt;2,"",ROUND(100*(M132-N132)/MAX(M132,N132),1))</f>
        <v/>
      </c>
      <c r="P132" s="15">
        <f>IF(OR($A132="",B132=""),"",$A132*10+IF(B132="Max hangs",1,2))</f>
        <v/>
      </c>
    </row>
    <row r="133">
      <c r="A133" s="11" t="n"/>
      <c r="C133" s="12" t="n"/>
      <c r="H133" s="13" t="n"/>
      <c r="I133" s="14">
        <f>IF(COUNT(D133:F133)=0,"",ROUND(11-AVERAGE(D133:F133),1))</f>
        <v/>
      </c>
      <c r="J133" s="14">
        <f>IF(COUNT(D133:F133)=0,"",IF(11-MAX(D133:F133)&lt;=low_max,"LOW",IF(11-MAX(D133:F133)&lt;=watch_max,"WATCH","GOOD")))</f>
        <v/>
      </c>
      <c r="K133" s="15">
        <f>IF(OR($A133="",B133=""),"",IF(B133="Max hangs",COUNTIFS('Hang sets'!$N$3:$N$202,P133),COUNTIFS('Curl sets'!$P$3:$P$202,P133)))</f>
        <v/>
      </c>
      <c r="L133" s="14">
        <f>IF(OR(B133&lt;&gt;"Max hangs",N(K133)=0),"",_xlfn.MAXIFS('Hang sets'!$G$3:$G$202,'Hang sets'!$N$3:$N$202,P133))</f>
        <v/>
      </c>
      <c r="M133" s="14">
        <f>IF(OR(B133&lt;&gt;"Finger curls",N(K133)=0),"",_xlfn.MAXIFS('Curl sets'!$L$3:$L$202,'Curl sets'!$P$3:$P$202,P133))</f>
        <v/>
      </c>
      <c r="N133" s="14">
        <f>IF(OR(B133&lt;&gt;"Finger curls",N(K133)=0),"",_xlfn.MAXIFS('Curl sets'!$M$3:$M$202,'Curl sets'!$P$3:$P$202,P133))</f>
        <v/>
      </c>
      <c r="O133" s="14">
        <f>IF(COUNT(M133,N133)&lt;2,"",ROUND(100*(M133-N133)/MAX(M133,N133),1))</f>
        <v/>
      </c>
      <c r="P133" s="15">
        <f>IF(OR($A133="",B133=""),"",$A133*10+IF(B133="Max hangs",1,2))</f>
        <v/>
      </c>
    </row>
    <row r="134">
      <c r="A134" s="11" t="n"/>
      <c r="C134" s="12" t="n"/>
      <c r="H134" s="13" t="n"/>
      <c r="I134" s="14">
        <f>IF(COUNT(D134:F134)=0,"",ROUND(11-AVERAGE(D134:F134),1))</f>
        <v/>
      </c>
      <c r="J134" s="14">
        <f>IF(COUNT(D134:F134)=0,"",IF(11-MAX(D134:F134)&lt;=low_max,"LOW",IF(11-MAX(D134:F134)&lt;=watch_max,"WATCH","GOOD")))</f>
        <v/>
      </c>
      <c r="K134" s="15">
        <f>IF(OR($A134="",B134=""),"",IF(B134="Max hangs",COUNTIFS('Hang sets'!$N$3:$N$202,P134),COUNTIFS('Curl sets'!$P$3:$P$202,P134)))</f>
        <v/>
      </c>
      <c r="L134" s="14">
        <f>IF(OR(B134&lt;&gt;"Max hangs",N(K134)=0),"",_xlfn.MAXIFS('Hang sets'!$G$3:$G$202,'Hang sets'!$N$3:$N$202,P134))</f>
        <v/>
      </c>
      <c r="M134" s="14">
        <f>IF(OR(B134&lt;&gt;"Finger curls",N(K134)=0),"",_xlfn.MAXIFS('Curl sets'!$L$3:$L$202,'Curl sets'!$P$3:$P$202,P134))</f>
        <v/>
      </c>
      <c r="N134" s="14">
        <f>IF(OR(B134&lt;&gt;"Finger curls",N(K134)=0),"",_xlfn.MAXIFS('Curl sets'!$M$3:$M$202,'Curl sets'!$P$3:$P$202,P134))</f>
        <v/>
      </c>
      <c r="O134" s="14">
        <f>IF(COUNT(M134,N134)&lt;2,"",ROUND(100*(M134-N134)/MAX(M134,N134),1))</f>
        <v/>
      </c>
      <c r="P134" s="15">
        <f>IF(OR($A134="",B134=""),"",$A134*10+IF(B134="Max hangs",1,2))</f>
        <v/>
      </c>
    </row>
    <row r="135">
      <c r="A135" s="11" t="n"/>
      <c r="C135" s="12" t="n"/>
      <c r="H135" s="13" t="n"/>
      <c r="I135" s="14">
        <f>IF(COUNT(D135:F135)=0,"",ROUND(11-AVERAGE(D135:F135),1))</f>
        <v/>
      </c>
      <c r="J135" s="14">
        <f>IF(COUNT(D135:F135)=0,"",IF(11-MAX(D135:F135)&lt;=low_max,"LOW",IF(11-MAX(D135:F135)&lt;=watch_max,"WATCH","GOOD")))</f>
        <v/>
      </c>
      <c r="K135" s="15">
        <f>IF(OR($A135="",B135=""),"",IF(B135="Max hangs",COUNTIFS('Hang sets'!$N$3:$N$202,P135),COUNTIFS('Curl sets'!$P$3:$P$202,P135)))</f>
        <v/>
      </c>
      <c r="L135" s="14">
        <f>IF(OR(B135&lt;&gt;"Max hangs",N(K135)=0),"",_xlfn.MAXIFS('Hang sets'!$G$3:$G$202,'Hang sets'!$N$3:$N$202,P135))</f>
        <v/>
      </c>
      <c r="M135" s="14">
        <f>IF(OR(B135&lt;&gt;"Finger curls",N(K135)=0),"",_xlfn.MAXIFS('Curl sets'!$L$3:$L$202,'Curl sets'!$P$3:$P$202,P135))</f>
        <v/>
      </c>
      <c r="N135" s="14">
        <f>IF(OR(B135&lt;&gt;"Finger curls",N(K135)=0),"",_xlfn.MAXIFS('Curl sets'!$M$3:$M$202,'Curl sets'!$P$3:$P$202,P135))</f>
        <v/>
      </c>
      <c r="O135" s="14">
        <f>IF(COUNT(M135,N135)&lt;2,"",ROUND(100*(M135-N135)/MAX(M135,N135),1))</f>
        <v/>
      </c>
      <c r="P135" s="15">
        <f>IF(OR($A135="",B135=""),"",$A135*10+IF(B135="Max hangs",1,2))</f>
        <v/>
      </c>
    </row>
    <row r="136">
      <c r="A136" s="11" t="n"/>
      <c r="C136" s="12" t="n"/>
      <c r="H136" s="13" t="n"/>
      <c r="I136" s="14">
        <f>IF(COUNT(D136:F136)=0,"",ROUND(11-AVERAGE(D136:F136),1))</f>
        <v/>
      </c>
      <c r="J136" s="14">
        <f>IF(COUNT(D136:F136)=0,"",IF(11-MAX(D136:F136)&lt;=low_max,"LOW",IF(11-MAX(D136:F136)&lt;=watch_max,"WATCH","GOOD")))</f>
        <v/>
      </c>
      <c r="K136" s="15">
        <f>IF(OR($A136="",B136=""),"",IF(B136="Max hangs",COUNTIFS('Hang sets'!$N$3:$N$202,P136),COUNTIFS('Curl sets'!$P$3:$P$202,P136)))</f>
        <v/>
      </c>
      <c r="L136" s="14">
        <f>IF(OR(B136&lt;&gt;"Max hangs",N(K136)=0),"",_xlfn.MAXIFS('Hang sets'!$G$3:$G$202,'Hang sets'!$N$3:$N$202,P136))</f>
        <v/>
      </c>
      <c r="M136" s="14">
        <f>IF(OR(B136&lt;&gt;"Finger curls",N(K136)=0),"",_xlfn.MAXIFS('Curl sets'!$L$3:$L$202,'Curl sets'!$P$3:$P$202,P136))</f>
        <v/>
      </c>
      <c r="N136" s="14">
        <f>IF(OR(B136&lt;&gt;"Finger curls",N(K136)=0),"",_xlfn.MAXIFS('Curl sets'!$M$3:$M$202,'Curl sets'!$P$3:$P$202,P136))</f>
        <v/>
      </c>
      <c r="O136" s="14">
        <f>IF(COUNT(M136,N136)&lt;2,"",ROUND(100*(M136-N136)/MAX(M136,N136),1))</f>
        <v/>
      </c>
      <c r="P136" s="15">
        <f>IF(OR($A136="",B136=""),"",$A136*10+IF(B136="Max hangs",1,2))</f>
        <v/>
      </c>
    </row>
    <row r="137">
      <c r="A137" s="11" t="n"/>
      <c r="C137" s="12" t="n"/>
      <c r="H137" s="13" t="n"/>
      <c r="I137" s="14">
        <f>IF(COUNT(D137:F137)=0,"",ROUND(11-AVERAGE(D137:F137),1))</f>
        <v/>
      </c>
      <c r="J137" s="14">
        <f>IF(COUNT(D137:F137)=0,"",IF(11-MAX(D137:F137)&lt;=low_max,"LOW",IF(11-MAX(D137:F137)&lt;=watch_max,"WATCH","GOOD")))</f>
        <v/>
      </c>
      <c r="K137" s="15">
        <f>IF(OR($A137="",B137=""),"",IF(B137="Max hangs",COUNTIFS('Hang sets'!$N$3:$N$202,P137),COUNTIFS('Curl sets'!$P$3:$P$202,P137)))</f>
        <v/>
      </c>
      <c r="L137" s="14">
        <f>IF(OR(B137&lt;&gt;"Max hangs",N(K137)=0),"",_xlfn.MAXIFS('Hang sets'!$G$3:$G$202,'Hang sets'!$N$3:$N$202,P137))</f>
        <v/>
      </c>
      <c r="M137" s="14">
        <f>IF(OR(B137&lt;&gt;"Finger curls",N(K137)=0),"",_xlfn.MAXIFS('Curl sets'!$L$3:$L$202,'Curl sets'!$P$3:$P$202,P137))</f>
        <v/>
      </c>
      <c r="N137" s="14">
        <f>IF(OR(B137&lt;&gt;"Finger curls",N(K137)=0),"",_xlfn.MAXIFS('Curl sets'!$M$3:$M$202,'Curl sets'!$P$3:$P$202,P137))</f>
        <v/>
      </c>
      <c r="O137" s="14">
        <f>IF(COUNT(M137,N137)&lt;2,"",ROUND(100*(M137-N137)/MAX(M137,N137),1))</f>
        <v/>
      </c>
      <c r="P137" s="15">
        <f>IF(OR($A137="",B137=""),"",$A137*10+IF(B137="Max hangs",1,2))</f>
        <v/>
      </c>
    </row>
    <row r="138">
      <c r="A138" s="11" t="n"/>
      <c r="C138" s="12" t="n"/>
      <c r="H138" s="13" t="n"/>
      <c r="I138" s="14">
        <f>IF(COUNT(D138:F138)=0,"",ROUND(11-AVERAGE(D138:F138),1))</f>
        <v/>
      </c>
      <c r="J138" s="14">
        <f>IF(COUNT(D138:F138)=0,"",IF(11-MAX(D138:F138)&lt;=low_max,"LOW",IF(11-MAX(D138:F138)&lt;=watch_max,"WATCH","GOOD")))</f>
        <v/>
      </c>
      <c r="K138" s="15">
        <f>IF(OR($A138="",B138=""),"",IF(B138="Max hangs",COUNTIFS('Hang sets'!$N$3:$N$202,P138),COUNTIFS('Curl sets'!$P$3:$P$202,P138)))</f>
        <v/>
      </c>
      <c r="L138" s="14">
        <f>IF(OR(B138&lt;&gt;"Max hangs",N(K138)=0),"",_xlfn.MAXIFS('Hang sets'!$G$3:$G$202,'Hang sets'!$N$3:$N$202,P138))</f>
        <v/>
      </c>
      <c r="M138" s="14">
        <f>IF(OR(B138&lt;&gt;"Finger curls",N(K138)=0),"",_xlfn.MAXIFS('Curl sets'!$L$3:$L$202,'Curl sets'!$P$3:$P$202,P138))</f>
        <v/>
      </c>
      <c r="N138" s="14">
        <f>IF(OR(B138&lt;&gt;"Finger curls",N(K138)=0),"",_xlfn.MAXIFS('Curl sets'!$M$3:$M$202,'Curl sets'!$P$3:$P$202,P138))</f>
        <v/>
      </c>
      <c r="O138" s="14">
        <f>IF(COUNT(M138,N138)&lt;2,"",ROUND(100*(M138-N138)/MAX(M138,N138),1))</f>
        <v/>
      </c>
      <c r="P138" s="15">
        <f>IF(OR($A138="",B138=""),"",$A138*10+IF(B138="Max hangs",1,2))</f>
        <v/>
      </c>
    </row>
    <row r="139">
      <c r="A139" s="11" t="n"/>
      <c r="C139" s="12" t="n"/>
      <c r="H139" s="13" t="n"/>
      <c r="I139" s="14">
        <f>IF(COUNT(D139:F139)=0,"",ROUND(11-AVERAGE(D139:F139),1))</f>
        <v/>
      </c>
      <c r="J139" s="14">
        <f>IF(COUNT(D139:F139)=0,"",IF(11-MAX(D139:F139)&lt;=low_max,"LOW",IF(11-MAX(D139:F139)&lt;=watch_max,"WATCH","GOOD")))</f>
        <v/>
      </c>
      <c r="K139" s="15">
        <f>IF(OR($A139="",B139=""),"",IF(B139="Max hangs",COUNTIFS('Hang sets'!$N$3:$N$202,P139),COUNTIFS('Curl sets'!$P$3:$P$202,P139)))</f>
        <v/>
      </c>
      <c r="L139" s="14">
        <f>IF(OR(B139&lt;&gt;"Max hangs",N(K139)=0),"",_xlfn.MAXIFS('Hang sets'!$G$3:$G$202,'Hang sets'!$N$3:$N$202,P139))</f>
        <v/>
      </c>
      <c r="M139" s="14">
        <f>IF(OR(B139&lt;&gt;"Finger curls",N(K139)=0),"",_xlfn.MAXIFS('Curl sets'!$L$3:$L$202,'Curl sets'!$P$3:$P$202,P139))</f>
        <v/>
      </c>
      <c r="N139" s="14">
        <f>IF(OR(B139&lt;&gt;"Finger curls",N(K139)=0),"",_xlfn.MAXIFS('Curl sets'!$M$3:$M$202,'Curl sets'!$P$3:$P$202,P139))</f>
        <v/>
      </c>
      <c r="O139" s="14">
        <f>IF(COUNT(M139,N139)&lt;2,"",ROUND(100*(M139-N139)/MAX(M139,N139),1))</f>
        <v/>
      </c>
      <c r="P139" s="15">
        <f>IF(OR($A139="",B139=""),"",$A139*10+IF(B139="Max hangs",1,2))</f>
        <v/>
      </c>
    </row>
    <row r="140">
      <c r="A140" s="11" t="n"/>
      <c r="C140" s="12" t="n"/>
      <c r="H140" s="13" t="n"/>
      <c r="I140" s="14">
        <f>IF(COUNT(D140:F140)=0,"",ROUND(11-AVERAGE(D140:F140),1))</f>
        <v/>
      </c>
      <c r="J140" s="14">
        <f>IF(COUNT(D140:F140)=0,"",IF(11-MAX(D140:F140)&lt;=low_max,"LOW",IF(11-MAX(D140:F140)&lt;=watch_max,"WATCH","GOOD")))</f>
        <v/>
      </c>
      <c r="K140" s="15">
        <f>IF(OR($A140="",B140=""),"",IF(B140="Max hangs",COUNTIFS('Hang sets'!$N$3:$N$202,P140),COUNTIFS('Curl sets'!$P$3:$P$202,P140)))</f>
        <v/>
      </c>
      <c r="L140" s="14">
        <f>IF(OR(B140&lt;&gt;"Max hangs",N(K140)=0),"",_xlfn.MAXIFS('Hang sets'!$G$3:$G$202,'Hang sets'!$N$3:$N$202,P140))</f>
        <v/>
      </c>
      <c r="M140" s="14">
        <f>IF(OR(B140&lt;&gt;"Finger curls",N(K140)=0),"",_xlfn.MAXIFS('Curl sets'!$L$3:$L$202,'Curl sets'!$P$3:$P$202,P140))</f>
        <v/>
      </c>
      <c r="N140" s="14">
        <f>IF(OR(B140&lt;&gt;"Finger curls",N(K140)=0),"",_xlfn.MAXIFS('Curl sets'!$M$3:$M$202,'Curl sets'!$P$3:$P$202,P140))</f>
        <v/>
      </c>
      <c r="O140" s="14">
        <f>IF(COUNT(M140,N140)&lt;2,"",ROUND(100*(M140-N140)/MAX(M140,N140),1))</f>
        <v/>
      </c>
      <c r="P140" s="15">
        <f>IF(OR($A140="",B140=""),"",$A140*10+IF(B140="Max hangs",1,2))</f>
        <v/>
      </c>
    </row>
    <row r="141">
      <c r="A141" s="11" t="n"/>
      <c r="C141" s="12" t="n"/>
      <c r="H141" s="13" t="n"/>
      <c r="I141" s="14">
        <f>IF(COUNT(D141:F141)=0,"",ROUND(11-AVERAGE(D141:F141),1))</f>
        <v/>
      </c>
      <c r="J141" s="14">
        <f>IF(COUNT(D141:F141)=0,"",IF(11-MAX(D141:F141)&lt;=low_max,"LOW",IF(11-MAX(D141:F141)&lt;=watch_max,"WATCH","GOOD")))</f>
        <v/>
      </c>
      <c r="K141" s="15">
        <f>IF(OR($A141="",B141=""),"",IF(B141="Max hangs",COUNTIFS('Hang sets'!$N$3:$N$202,P141),COUNTIFS('Curl sets'!$P$3:$P$202,P141)))</f>
        <v/>
      </c>
      <c r="L141" s="14">
        <f>IF(OR(B141&lt;&gt;"Max hangs",N(K141)=0),"",_xlfn.MAXIFS('Hang sets'!$G$3:$G$202,'Hang sets'!$N$3:$N$202,P141))</f>
        <v/>
      </c>
      <c r="M141" s="14">
        <f>IF(OR(B141&lt;&gt;"Finger curls",N(K141)=0),"",_xlfn.MAXIFS('Curl sets'!$L$3:$L$202,'Curl sets'!$P$3:$P$202,P141))</f>
        <v/>
      </c>
      <c r="N141" s="14">
        <f>IF(OR(B141&lt;&gt;"Finger curls",N(K141)=0),"",_xlfn.MAXIFS('Curl sets'!$M$3:$M$202,'Curl sets'!$P$3:$P$202,P141))</f>
        <v/>
      </c>
      <c r="O141" s="14">
        <f>IF(COUNT(M141,N141)&lt;2,"",ROUND(100*(M141-N141)/MAX(M141,N141),1))</f>
        <v/>
      </c>
      <c r="P141" s="15">
        <f>IF(OR($A141="",B141=""),"",$A141*10+IF(B141="Max hangs",1,2))</f>
        <v/>
      </c>
    </row>
    <row r="142">
      <c r="A142" s="11" t="n"/>
      <c r="C142" s="12" t="n"/>
      <c r="H142" s="13" t="n"/>
      <c r="I142" s="14">
        <f>IF(COUNT(D142:F142)=0,"",ROUND(11-AVERAGE(D142:F142),1))</f>
        <v/>
      </c>
      <c r="J142" s="14">
        <f>IF(COUNT(D142:F142)=0,"",IF(11-MAX(D142:F142)&lt;=low_max,"LOW",IF(11-MAX(D142:F142)&lt;=watch_max,"WATCH","GOOD")))</f>
        <v/>
      </c>
      <c r="K142" s="15">
        <f>IF(OR($A142="",B142=""),"",IF(B142="Max hangs",COUNTIFS('Hang sets'!$N$3:$N$202,P142),COUNTIFS('Curl sets'!$P$3:$P$202,P142)))</f>
        <v/>
      </c>
      <c r="L142" s="14">
        <f>IF(OR(B142&lt;&gt;"Max hangs",N(K142)=0),"",_xlfn.MAXIFS('Hang sets'!$G$3:$G$202,'Hang sets'!$N$3:$N$202,P142))</f>
        <v/>
      </c>
      <c r="M142" s="14">
        <f>IF(OR(B142&lt;&gt;"Finger curls",N(K142)=0),"",_xlfn.MAXIFS('Curl sets'!$L$3:$L$202,'Curl sets'!$P$3:$P$202,P142))</f>
        <v/>
      </c>
      <c r="N142" s="14">
        <f>IF(OR(B142&lt;&gt;"Finger curls",N(K142)=0),"",_xlfn.MAXIFS('Curl sets'!$M$3:$M$202,'Curl sets'!$P$3:$P$202,P142))</f>
        <v/>
      </c>
      <c r="O142" s="14">
        <f>IF(COUNT(M142,N142)&lt;2,"",ROUND(100*(M142-N142)/MAX(M142,N142),1))</f>
        <v/>
      </c>
      <c r="P142" s="15">
        <f>IF(OR($A142="",B142=""),"",$A142*10+IF(B142="Max hangs",1,2))</f>
        <v/>
      </c>
    </row>
    <row r="143">
      <c r="A143" s="11" t="n"/>
      <c r="C143" s="12" t="n"/>
      <c r="H143" s="13" t="n"/>
      <c r="I143" s="14">
        <f>IF(COUNT(D143:F143)=0,"",ROUND(11-AVERAGE(D143:F143),1))</f>
        <v/>
      </c>
      <c r="J143" s="14">
        <f>IF(COUNT(D143:F143)=0,"",IF(11-MAX(D143:F143)&lt;=low_max,"LOW",IF(11-MAX(D143:F143)&lt;=watch_max,"WATCH","GOOD")))</f>
        <v/>
      </c>
      <c r="K143" s="15">
        <f>IF(OR($A143="",B143=""),"",IF(B143="Max hangs",COUNTIFS('Hang sets'!$N$3:$N$202,P143),COUNTIFS('Curl sets'!$P$3:$P$202,P143)))</f>
        <v/>
      </c>
      <c r="L143" s="14">
        <f>IF(OR(B143&lt;&gt;"Max hangs",N(K143)=0),"",_xlfn.MAXIFS('Hang sets'!$G$3:$G$202,'Hang sets'!$N$3:$N$202,P143))</f>
        <v/>
      </c>
      <c r="M143" s="14">
        <f>IF(OR(B143&lt;&gt;"Finger curls",N(K143)=0),"",_xlfn.MAXIFS('Curl sets'!$L$3:$L$202,'Curl sets'!$P$3:$P$202,P143))</f>
        <v/>
      </c>
      <c r="N143" s="14">
        <f>IF(OR(B143&lt;&gt;"Finger curls",N(K143)=0),"",_xlfn.MAXIFS('Curl sets'!$M$3:$M$202,'Curl sets'!$P$3:$P$202,P143))</f>
        <v/>
      </c>
      <c r="O143" s="14">
        <f>IF(COUNT(M143,N143)&lt;2,"",ROUND(100*(M143-N143)/MAX(M143,N143),1))</f>
        <v/>
      </c>
      <c r="P143" s="15">
        <f>IF(OR($A143="",B143=""),"",$A143*10+IF(B143="Max hangs",1,2))</f>
        <v/>
      </c>
    </row>
    <row r="144">
      <c r="A144" s="11" t="n"/>
      <c r="C144" s="12" t="n"/>
      <c r="H144" s="13" t="n"/>
      <c r="I144" s="14">
        <f>IF(COUNT(D144:F144)=0,"",ROUND(11-AVERAGE(D144:F144),1))</f>
        <v/>
      </c>
      <c r="J144" s="14">
        <f>IF(COUNT(D144:F144)=0,"",IF(11-MAX(D144:F144)&lt;=low_max,"LOW",IF(11-MAX(D144:F144)&lt;=watch_max,"WATCH","GOOD")))</f>
        <v/>
      </c>
      <c r="K144" s="15">
        <f>IF(OR($A144="",B144=""),"",IF(B144="Max hangs",COUNTIFS('Hang sets'!$N$3:$N$202,P144),COUNTIFS('Curl sets'!$P$3:$P$202,P144)))</f>
        <v/>
      </c>
      <c r="L144" s="14">
        <f>IF(OR(B144&lt;&gt;"Max hangs",N(K144)=0),"",_xlfn.MAXIFS('Hang sets'!$G$3:$G$202,'Hang sets'!$N$3:$N$202,P144))</f>
        <v/>
      </c>
      <c r="M144" s="14">
        <f>IF(OR(B144&lt;&gt;"Finger curls",N(K144)=0),"",_xlfn.MAXIFS('Curl sets'!$L$3:$L$202,'Curl sets'!$P$3:$P$202,P144))</f>
        <v/>
      </c>
      <c r="N144" s="14">
        <f>IF(OR(B144&lt;&gt;"Finger curls",N(K144)=0),"",_xlfn.MAXIFS('Curl sets'!$M$3:$M$202,'Curl sets'!$P$3:$P$202,P144))</f>
        <v/>
      </c>
      <c r="O144" s="14">
        <f>IF(COUNT(M144,N144)&lt;2,"",ROUND(100*(M144-N144)/MAX(M144,N144),1))</f>
        <v/>
      </c>
      <c r="P144" s="15">
        <f>IF(OR($A144="",B144=""),"",$A144*10+IF(B144="Max hangs",1,2))</f>
        <v/>
      </c>
    </row>
    <row r="145">
      <c r="A145" s="11" t="n"/>
      <c r="C145" s="12" t="n"/>
      <c r="H145" s="13" t="n"/>
      <c r="I145" s="14">
        <f>IF(COUNT(D145:F145)=0,"",ROUND(11-AVERAGE(D145:F145),1))</f>
        <v/>
      </c>
      <c r="J145" s="14">
        <f>IF(COUNT(D145:F145)=0,"",IF(11-MAX(D145:F145)&lt;=low_max,"LOW",IF(11-MAX(D145:F145)&lt;=watch_max,"WATCH","GOOD")))</f>
        <v/>
      </c>
      <c r="K145" s="15">
        <f>IF(OR($A145="",B145=""),"",IF(B145="Max hangs",COUNTIFS('Hang sets'!$N$3:$N$202,P145),COUNTIFS('Curl sets'!$P$3:$P$202,P145)))</f>
        <v/>
      </c>
      <c r="L145" s="14">
        <f>IF(OR(B145&lt;&gt;"Max hangs",N(K145)=0),"",_xlfn.MAXIFS('Hang sets'!$G$3:$G$202,'Hang sets'!$N$3:$N$202,P145))</f>
        <v/>
      </c>
      <c r="M145" s="14">
        <f>IF(OR(B145&lt;&gt;"Finger curls",N(K145)=0),"",_xlfn.MAXIFS('Curl sets'!$L$3:$L$202,'Curl sets'!$P$3:$P$202,P145))</f>
        <v/>
      </c>
      <c r="N145" s="14">
        <f>IF(OR(B145&lt;&gt;"Finger curls",N(K145)=0),"",_xlfn.MAXIFS('Curl sets'!$M$3:$M$202,'Curl sets'!$P$3:$P$202,P145))</f>
        <v/>
      </c>
      <c r="O145" s="14">
        <f>IF(COUNT(M145,N145)&lt;2,"",ROUND(100*(M145-N145)/MAX(M145,N145),1))</f>
        <v/>
      </c>
      <c r="P145" s="15">
        <f>IF(OR($A145="",B145=""),"",$A145*10+IF(B145="Max hangs",1,2))</f>
        <v/>
      </c>
    </row>
    <row r="146">
      <c r="A146" s="11" t="n"/>
      <c r="C146" s="12" t="n"/>
      <c r="H146" s="13" t="n"/>
      <c r="I146" s="14">
        <f>IF(COUNT(D146:F146)=0,"",ROUND(11-AVERAGE(D146:F146),1))</f>
        <v/>
      </c>
      <c r="J146" s="14">
        <f>IF(COUNT(D146:F146)=0,"",IF(11-MAX(D146:F146)&lt;=low_max,"LOW",IF(11-MAX(D146:F146)&lt;=watch_max,"WATCH","GOOD")))</f>
        <v/>
      </c>
      <c r="K146" s="15">
        <f>IF(OR($A146="",B146=""),"",IF(B146="Max hangs",COUNTIFS('Hang sets'!$N$3:$N$202,P146),COUNTIFS('Curl sets'!$P$3:$P$202,P146)))</f>
        <v/>
      </c>
      <c r="L146" s="14">
        <f>IF(OR(B146&lt;&gt;"Max hangs",N(K146)=0),"",_xlfn.MAXIFS('Hang sets'!$G$3:$G$202,'Hang sets'!$N$3:$N$202,P146))</f>
        <v/>
      </c>
      <c r="M146" s="14">
        <f>IF(OR(B146&lt;&gt;"Finger curls",N(K146)=0),"",_xlfn.MAXIFS('Curl sets'!$L$3:$L$202,'Curl sets'!$P$3:$P$202,P146))</f>
        <v/>
      </c>
      <c r="N146" s="14">
        <f>IF(OR(B146&lt;&gt;"Finger curls",N(K146)=0),"",_xlfn.MAXIFS('Curl sets'!$M$3:$M$202,'Curl sets'!$P$3:$P$202,P146))</f>
        <v/>
      </c>
      <c r="O146" s="14">
        <f>IF(COUNT(M146,N146)&lt;2,"",ROUND(100*(M146-N146)/MAX(M146,N146),1))</f>
        <v/>
      </c>
      <c r="P146" s="15">
        <f>IF(OR($A146="",B146=""),"",$A146*10+IF(B146="Max hangs",1,2))</f>
        <v/>
      </c>
    </row>
    <row r="147">
      <c r="A147" s="11" t="n"/>
      <c r="C147" s="12" t="n"/>
      <c r="H147" s="13" t="n"/>
      <c r="I147" s="14">
        <f>IF(COUNT(D147:F147)=0,"",ROUND(11-AVERAGE(D147:F147),1))</f>
        <v/>
      </c>
      <c r="J147" s="14">
        <f>IF(COUNT(D147:F147)=0,"",IF(11-MAX(D147:F147)&lt;=low_max,"LOW",IF(11-MAX(D147:F147)&lt;=watch_max,"WATCH","GOOD")))</f>
        <v/>
      </c>
      <c r="K147" s="15">
        <f>IF(OR($A147="",B147=""),"",IF(B147="Max hangs",COUNTIFS('Hang sets'!$N$3:$N$202,P147),COUNTIFS('Curl sets'!$P$3:$P$202,P147)))</f>
        <v/>
      </c>
      <c r="L147" s="14">
        <f>IF(OR(B147&lt;&gt;"Max hangs",N(K147)=0),"",_xlfn.MAXIFS('Hang sets'!$G$3:$G$202,'Hang sets'!$N$3:$N$202,P147))</f>
        <v/>
      </c>
      <c r="M147" s="14">
        <f>IF(OR(B147&lt;&gt;"Finger curls",N(K147)=0),"",_xlfn.MAXIFS('Curl sets'!$L$3:$L$202,'Curl sets'!$P$3:$P$202,P147))</f>
        <v/>
      </c>
      <c r="N147" s="14">
        <f>IF(OR(B147&lt;&gt;"Finger curls",N(K147)=0),"",_xlfn.MAXIFS('Curl sets'!$M$3:$M$202,'Curl sets'!$P$3:$P$202,P147))</f>
        <v/>
      </c>
      <c r="O147" s="14">
        <f>IF(COUNT(M147,N147)&lt;2,"",ROUND(100*(M147-N147)/MAX(M147,N147),1))</f>
        <v/>
      </c>
      <c r="P147" s="15">
        <f>IF(OR($A147="",B147=""),"",$A147*10+IF(B147="Max hangs",1,2))</f>
        <v/>
      </c>
    </row>
    <row r="148">
      <c r="A148" s="11" t="n"/>
      <c r="C148" s="12" t="n"/>
      <c r="H148" s="13" t="n"/>
      <c r="I148" s="14">
        <f>IF(COUNT(D148:F148)=0,"",ROUND(11-AVERAGE(D148:F148),1))</f>
        <v/>
      </c>
      <c r="J148" s="14">
        <f>IF(COUNT(D148:F148)=0,"",IF(11-MAX(D148:F148)&lt;=low_max,"LOW",IF(11-MAX(D148:F148)&lt;=watch_max,"WATCH","GOOD")))</f>
        <v/>
      </c>
      <c r="K148" s="15">
        <f>IF(OR($A148="",B148=""),"",IF(B148="Max hangs",COUNTIFS('Hang sets'!$N$3:$N$202,P148),COUNTIFS('Curl sets'!$P$3:$P$202,P148)))</f>
        <v/>
      </c>
      <c r="L148" s="14">
        <f>IF(OR(B148&lt;&gt;"Max hangs",N(K148)=0),"",_xlfn.MAXIFS('Hang sets'!$G$3:$G$202,'Hang sets'!$N$3:$N$202,P148))</f>
        <v/>
      </c>
      <c r="M148" s="14">
        <f>IF(OR(B148&lt;&gt;"Finger curls",N(K148)=0),"",_xlfn.MAXIFS('Curl sets'!$L$3:$L$202,'Curl sets'!$P$3:$P$202,P148))</f>
        <v/>
      </c>
      <c r="N148" s="14">
        <f>IF(OR(B148&lt;&gt;"Finger curls",N(K148)=0),"",_xlfn.MAXIFS('Curl sets'!$M$3:$M$202,'Curl sets'!$P$3:$P$202,P148))</f>
        <v/>
      </c>
      <c r="O148" s="14">
        <f>IF(COUNT(M148,N148)&lt;2,"",ROUND(100*(M148-N148)/MAX(M148,N148),1))</f>
        <v/>
      </c>
      <c r="P148" s="15">
        <f>IF(OR($A148="",B148=""),"",$A148*10+IF(B148="Max hangs",1,2))</f>
        <v/>
      </c>
    </row>
    <row r="149">
      <c r="A149" s="11" t="n"/>
      <c r="C149" s="12" t="n"/>
      <c r="H149" s="13" t="n"/>
      <c r="I149" s="14">
        <f>IF(COUNT(D149:F149)=0,"",ROUND(11-AVERAGE(D149:F149),1))</f>
        <v/>
      </c>
      <c r="J149" s="14">
        <f>IF(COUNT(D149:F149)=0,"",IF(11-MAX(D149:F149)&lt;=low_max,"LOW",IF(11-MAX(D149:F149)&lt;=watch_max,"WATCH","GOOD")))</f>
        <v/>
      </c>
      <c r="K149" s="15">
        <f>IF(OR($A149="",B149=""),"",IF(B149="Max hangs",COUNTIFS('Hang sets'!$N$3:$N$202,P149),COUNTIFS('Curl sets'!$P$3:$P$202,P149)))</f>
        <v/>
      </c>
      <c r="L149" s="14">
        <f>IF(OR(B149&lt;&gt;"Max hangs",N(K149)=0),"",_xlfn.MAXIFS('Hang sets'!$G$3:$G$202,'Hang sets'!$N$3:$N$202,P149))</f>
        <v/>
      </c>
      <c r="M149" s="14">
        <f>IF(OR(B149&lt;&gt;"Finger curls",N(K149)=0),"",_xlfn.MAXIFS('Curl sets'!$L$3:$L$202,'Curl sets'!$P$3:$P$202,P149))</f>
        <v/>
      </c>
      <c r="N149" s="14">
        <f>IF(OR(B149&lt;&gt;"Finger curls",N(K149)=0),"",_xlfn.MAXIFS('Curl sets'!$M$3:$M$202,'Curl sets'!$P$3:$P$202,P149))</f>
        <v/>
      </c>
      <c r="O149" s="14">
        <f>IF(COUNT(M149,N149)&lt;2,"",ROUND(100*(M149-N149)/MAX(M149,N149),1))</f>
        <v/>
      </c>
      <c r="P149" s="15">
        <f>IF(OR($A149="",B149=""),"",$A149*10+IF(B149="Max hangs",1,2))</f>
        <v/>
      </c>
    </row>
    <row r="150">
      <c r="A150" s="11" t="n"/>
      <c r="C150" s="12" t="n"/>
      <c r="H150" s="13" t="n"/>
      <c r="I150" s="14">
        <f>IF(COUNT(D150:F150)=0,"",ROUND(11-AVERAGE(D150:F150),1))</f>
        <v/>
      </c>
      <c r="J150" s="14">
        <f>IF(COUNT(D150:F150)=0,"",IF(11-MAX(D150:F150)&lt;=low_max,"LOW",IF(11-MAX(D150:F150)&lt;=watch_max,"WATCH","GOOD")))</f>
        <v/>
      </c>
      <c r="K150" s="15">
        <f>IF(OR($A150="",B150=""),"",IF(B150="Max hangs",COUNTIFS('Hang sets'!$N$3:$N$202,P150),COUNTIFS('Curl sets'!$P$3:$P$202,P150)))</f>
        <v/>
      </c>
      <c r="L150" s="14">
        <f>IF(OR(B150&lt;&gt;"Max hangs",N(K150)=0),"",_xlfn.MAXIFS('Hang sets'!$G$3:$G$202,'Hang sets'!$N$3:$N$202,P150))</f>
        <v/>
      </c>
      <c r="M150" s="14">
        <f>IF(OR(B150&lt;&gt;"Finger curls",N(K150)=0),"",_xlfn.MAXIFS('Curl sets'!$L$3:$L$202,'Curl sets'!$P$3:$P$202,P150))</f>
        <v/>
      </c>
      <c r="N150" s="14">
        <f>IF(OR(B150&lt;&gt;"Finger curls",N(K150)=0),"",_xlfn.MAXIFS('Curl sets'!$M$3:$M$202,'Curl sets'!$P$3:$P$202,P150))</f>
        <v/>
      </c>
      <c r="O150" s="14">
        <f>IF(COUNT(M150,N150)&lt;2,"",ROUND(100*(M150-N150)/MAX(M150,N150),1))</f>
        <v/>
      </c>
      <c r="P150" s="15">
        <f>IF(OR($A150="",B150=""),"",$A150*10+IF(B150="Max hangs",1,2))</f>
        <v/>
      </c>
    </row>
    <row r="151">
      <c r="A151" s="11" t="n"/>
      <c r="C151" s="12" t="n"/>
      <c r="H151" s="13" t="n"/>
      <c r="I151" s="14">
        <f>IF(COUNT(D151:F151)=0,"",ROUND(11-AVERAGE(D151:F151),1))</f>
        <v/>
      </c>
      <c r="J151" s="14">
        <f>IF(COUNT(D151:F151)=0,"",IF(11-MAX(D151:F151)&lt;=low_max,"LOW",IF(11-MAX(D151:F151)&lt;=watch_max,"WATCH","GOOD")))</f>
        <v/>
      </c>
      <c r="K151" s="15">
        <f>IF(OR($A151="",B151=""),"",IF(B151="Max hangs",COUNTIFS('Hang sets'!$N$3:$N$202,P151),COUNTIFS('Curl sets'!$P$3:$P$202,P151)))</f>
        <v/>
      </c>
      <c r="L151" s="14">
        <f>IF(OR(B151&lt;&gt;"Max hangs",N(K151)=0),"",_xlfn.MAXIFS('Hang sets'!$G$3:$G$202,'Hang sets'!$N$3:$N$202,P151))</f>
        <v/>
      </c>
      <c r="M151" s="14">
        <f>IF(OR(B151&lt;&gt;"Finger curls",N(K151)=0),"",_xlfn.MAXIFS('Curl sets'!$L$3:$L$202,'Curl sets'!$P$3:$P$202,P151))</f>
        <v/>
      </c>
      <c r="N151" s="14">
        <f>IF(OR(B151&lt;&gt;"Finger curls",N(K151)=0),"",_xlfn.MAXIFS('Curl sets'!$M$3:$M$202,'Curl sets'!$P$3:$P$202,P151))</f>
        <v/>
      </c>
      <c r="O151" s="14">
        <f>IF(COUNT(M151,N151)&lt;2,"",ROUND(100*(M151-N151)/MAX(M151,N151),1))</f>
        <v/>
      </c>
      <c r="P151" s="15">
        <f>IF(OR($A151="",B151=""),"",$A151*10+IF(B151="Max hangs",1,2))</f>
        <v/>
      </c>
    </row>
    <row r="152">
      <c r="A152" s="11" t="n"/>
      <c r="C152" s="12" t="n"/>
      <c r="H152" s="13" t="n"/>
      <c r="I152" s="14">
        <f>IF(COUNT(D152:F152)=0,"",ROUND(11-AVERAGE(D152:F152),1))</f>
        <v/>
      </c>
      <c r="J152" s="14">
        <f>IF(COUNT(D152:F152)=0,"",IF(11-MAX(D152:F152)&lt;=low_max,"LOW",IF(11-MAX(D152:F152)&lt;=watch_max,"WATCH","GOOD")))</f>
        <v/>
      </c>
      <c r="K152" s="15">
        <f>IF(OR($A152="",B152=""),"",IF(B152="Max hangs",COUNTIFS('Hang sets'!$N$3:$N$202,P152),COUNTIFS('Curl sets'!$P$3:$P$202,P152)))</f>
        <v/>
      </c>
      <c r="L152" s="14">
        <f>IF(OR(B152&lt;&gt;"Max hangs",N(K152)=0),"",_xlfn.MAXIFS('Hang sets'!$G$3:$G$202,'Hang sets'!$N$3:$N$202,P152))</f>
        <v/>
      </c>
      <c r="M152" s="14">
        <f>IF(OR(B152&lt;&gt;"Finger curls",N(K152)=0),"",_xlfn.MAXIFS('Curl sets'!$L$3:$L$202,'Curl sets'!$P$3:$P$202,P152))</f>
        <v/>
      </c>
      <c r="N152" s="14">
        <f>IF(OR(B152&lt;&gt;"Finger curls",N(K152)=0),"",_xlfn.MAXIFS('Curl sets'!$M$3:$M$202,'Curl sets'!$P$3:$P$202,P152))</f>
        <v/>
      </c>
      <c r="O152" s="14">
        <f>IF(COUNT(M152,N152)&lt;2,"",ROUND(100*(M152-N152)/MAX(M152,N152),1))</f>
        <v/>
      </c>
      <c r="P152" s="15">
        <f>IF(OR($A152="",B152=""),"",$A152*10+IF(B152="Max hangs",1,2))</f>
        <v/>
      </c>
    </row>
    <row r="153">
      <c r="A153" s="11" t="n"/>
      <c r="C153" s="12" t="n"/>
      <c r="H153" s="13" t="n"/>
      <c r="I153" s="14">
        <f>IF(COUNT(D153:F153)=0,"",ROUND(11-AVERAGE(D153:F153),1))</f>
        <v/>
      </c>
      <c r="J153" s="14">
        <f>IF(COUNT(D153:F153)=0,"",IF(11-MAX(D153:F153)&lt;=low_max,"LOW",IF(11-MAX(D153:F153)&lt;=watch_max,"WATCH","GOOD")))</f>
        <v/>
      </c>
      <c r="K153" s="15">
        <f>IF(OR($A153="",B153=""),"",IF(B153="Max hangs",COUNTIFS('Hang sets'!$N$3:$N$202,P153),COUNTIFS('Curl sets'!$P$3:$P$202,P153)))</f>
        <v/>
      </c>
      <c r="L153" s="14">
        <f>IF(OR(B153&lt;&gt;"Max hangs",N(K153)=0),"",_xlfn.MAXIFS('Hang sets'!$G$3:$G$202,'Hang sets'!$N$3:$N$202,P153))</f>
        <v/>
      </c>
      <c r="M153" s="14">
        <f>IF(OR(B153&lt;&gt;"Finger curls",N(K153)=0),"",_xlfn.MAXIFS('Curl sets'!$L$3:$L$202,'Curl sets'!$P$3:$P$202,P153))</f>
        <v/>
      </c>
      <c r="N153" s="14">
        <f>IF(OR(B153&lt;&gt;"Finger curls",N(K153)=0),"",_xlfn.MAXIFS('Curl sets'!$M$3:$M$202,'Curl sets'!$P$3:$P$202,P153))</f>
        <v/>
      </c>
      <c r="O153" s="14">
        <f>IF(COUNT(M153,N153)&lt;2,"",ROUND(100*(M153-N153)/MAX(M153,N153),1))</f>
        <v/>
      </c>
      <c r="P153" s="15">
        <f>IF(OR($A153="",B153=""),"",$A153*10+IF(B153="Max hangs",1,2))</f>
        <v/>
      </c>
    </row>
    <row r="154">
      <c r="A154" s="11" t="n"/>
      <c r="C154" s="12" t="n"/>
      <c r="H154" s="13" t="n"/>
      <c r="I154" s="14">
        <f>IF(COUNT(D154:F154)=0,"",ROUND(11-AVERAGE(D154:F154),1))</f>
        <v/>
      </c>
      <c r="J154" s="14">
        <f>IF(COUNT(D154:F154)=0,"",IF(11-MAX(D154:F154)&lt;=low_max,"LOW",IF(11-MAX(D154:F154)&lt;=watch_max,"WATCH","GOOD")))</f>
        <v/>
      </c>
      <c r="K154" s="15">
        <f>IF(OR($A154="",B154=""),"",IF(B154="Max hangs",COUNTIFS('Hang sets'!$N$3:$N$202,P154),COUNTIFS('Curl sets'!$P$3:$P$202,P154)))</f>
        <v/>
      </c>
      <c r="L154" s="14">
        <f>IF(OR(B154&lt;&gt;"Max hangs",N(K154)=0),"",_xlfn.MAXIFS('Hang sets'!$G$3:$G$202,'Hang sets'!$N$3:$N$202,P154))</f>
        <v/>
      </c>
      <c r="M154" s="14">
        <f>IF(OR(B154&lt;&gt;"Finger curls",N(K154)=0),"",_xlfn.MAXIFS('Curl sets'!$L$3:$L$202,'Curl sets'!$P$3:$P$202,P154))</f>
        <v/>
      </c>
      <c r="N154" s="14">
        <f>IF(OR(B154&lt;&gt;"Finger curls",N(K154)=0),"",_xlfn.MAXIFS('Curl sets'!$M$3:$M$202,'Curl sets'!$P$3:$P$202,P154))</f>
        <v/>
      </c>
      <c r="O154" s="14">
        <f>IF(COUNT(M154,N154)&lt;2,"",ROUND(100*(M154-N154)/MAX(M154,N154),1))</f>
        <v/>
      </c>
      <c r="P154" s="15">
        <f>IF(OR($A154="",B154=""),"",$A154*10+IF(B154="Max hangs",1,2))</f>
        <v/>
      </c>
    </row>
    <row r="155">
      <c r="A155" s="11" t="n"/>
      <c r="C155" s="12" t="n"/>
      <c r="H155" s="13" t="n"/>
      <c r="I155" s="14">
        <f>IF(COUNT(D155:F155)=0,"",ROUND(11-AVERAGE(D155:F155),1))</f>
        <v/>
      </c>
      <c r="J155" s="14">
        <f>IF(COUNT(D155:F155)=0,"",IF(11-MAX(D155:F155)&lt;=low_max,"LOW",IF(11-MAX(D155:F155)&lt;=watch_max,"WATCH","GOOD")))</f>
        <v/>
      </c>
      <c r="K155" s="15">
        <f>IF(OR($A155="",B155=""),"",IF(B155="Max hangs",COUNTIFS('Hang sets'!$N$3:$N$202,P155),COUNTIFS('Curl sets'!$P$3:$P$202,P155)))</f>
        <v/>
      </c>
      <c r="L155" s="14">
        <f>IF(OR(B155&lt;&gt;"Max hangs",N(K155)=0),"",_xlfn.MAXIFS('Hang sets'!$G$3:$G$202,'Hang sets'!$N$3:$N$202,P155))</f>
        <v/>
      </c>
      <c r="M155" s="14">
        <f>IF(OR(B155&lt;&gt;"Finger curls",N(K155)=0),"",_xlfn.MAXIFS('Curl sets'!$L$3:$L$202,'Curl sets'!$P$3:$P$202,P155))</f>
        <v/>
      </c>
      <c r="N155" s="14">
        <f>IF(OR(B155&lt;&gt;"Finger curls",N(K155)=0),"",_xlfn.MAXIFS('Curl sets'!$M$3:$M$202,'Curl sets'!$P$3:$P$202,P155))</f>
        <v/>
      </c>
      <c r="O155" s="14">
        <f>IF(COUNT(M155,N155)&lt;2,"",ROUND(100*(M155-N155)/MAX(M155,N155),1))</f>
        <v/>
      </c>
      <c r="P155" s="15">
        <f>IF(OR($A155="",B155=""),"",$A155*10+IF(B155="Max hangs",1,2))</f>
        <v/>
      </c>
    </row>
    <row r="156">
      <c r="A156" s="11" t="n"/>
      <c r="C156" s="12" t="n"/>
      <c r="H156" s="13" t="n"/>
      <c r="I156" s="14">
        <f>IF(COUNT(D156:F156)=0,"",ROUND(11-AVERAGE(D156:F156),1))</f>
        <v/>
      </c>
      <c r="J156" s="14">
        <f>IF(COUNT(D156:F156)=0,"",IF(11-MAX(D156:F156)&lt;=low_max,"LOW",IF(11-MAX(D156:F156)&lt;=watch_max,"WATCH","GOOD")))</f>
        <v/>
      </c>
      <c r="K156" s="15">
        <f>IF(OR($A156="",B156=""),"",IF(B156="Max hangs",COUNTIFS('Hang sets'!$N$3:$N$202,P156),COUNTIFS('Curl sets'!$P$3:$P$202,P156)))</f>
        <v/>
      </c>
      <c r="L156" s="14">
        <f>IF(OR(B156&lt;&gt;"Max hangs",N(K156)=0),"",_xlfn.MAXIFS('Hang sets'!$G$3:$G$202,'Hang sets'!$N$3:$N$202,P156))</f>
        <v/>
      </c>
      <c r="M156" s="14">
        <f>IF(OR(B156&lt;&gt;"Finger curls",N(K156)=0),"",_xlfn.MAXIFS('Curl sets'!$L$3:$L$202,'Curl sets'!$P$3:$P$202,P156))</f>
        <v/>
      </c>
      <c r="N156" s="14">
        <f>IF(OR(B156&lt;&gt;"Finger curls",N(K156)=0),"",_xlfn.MAXIFS('Curl sets'!$M$3:$M$202,'Curl sets'!$P$3:$P$202,P156))</f>
        <v/>
      </c>
      <c r="O156" s="14">
        <f>IF(COUNT(M156,N156)&lt;2,"",ROUND(100*(M156-N156)/MAX(M156,N156),1))</f>
        <v/>
      </c>
      <c r="P156" s="15">
        <f>IF(OR($A156="",B156=""),"",$A156*10+IF(B156="Max hangs",1,2))</f>
        <v/>
      </c>
    </row>
    <row r="157">
      <c r="A157" s="11" t="n"/>
      <c r="C157" s="12" t="n"/>
      <c r="H157" s="13" t="n"/>
      <c r="I157" s="14">
        <f>IF(COUNT(D157:F157)=0,"",ROUND(11-AVERAGE(D157:F157),1))</f>
        <v/>
      </c>
      <c r="J157" s="14">
        <f>IF(COUNT(D157:F157)=0,"",IF(11-MAX(D157:F157)&lt;=low_max,"LOW",IF(11-MAX(D157:F157)&lt;=watch_max,"WATCH","GOOD")))</f>
        <v/>
      </c>
      <c r="K157" s="15">
        <f>IF(OR($A157="",B157=""),"",IF(B157="Max hangs",COUNTIFS('Hang sets'!$N$3:$N$202,P157),COUNTIFS('Curl sets'!$P$3:$P$202,P157)))</f>
        <v/>
      </c>
      <c r="L157" s="14">
        <f>IF(OR(B157&lt;&gt;"Max hangs",N(K157)=0),"",_xlfn.MAXIFS('Hang sets'!$G$3:$G$202,'Hang sets'!$N$3:$N$202,P157))</f>
        <v/>
      </c>
      <c r="M157" s="14">
        <f>IF(OR(B157&lt;&gt;"Finger curls",N(K157)=0),"",_xlfn.MAXIFS('Curl sets'!$L$3:$L$202,'Curl sets'!$P$3:$P$202,P157))</f>
        <v/>
      </c>
      <c r="N157" s="14">
        <f>IF(OR(B157&lt;&gt;"Finger curls",N(K157)=0),"",_xlfn.MAXIFS('Curl sets'!$M$3:$M$202,'Curl sets'!$P$3:$P$202,P157))</f>
        <v/>
      </c>
      <c r="O157" s="14">
        <f>IF(COUNT(M157,N157)&lt;2,"",ROUND(100*(M157-N157)/MAX(M157,N157),1))</f>
        <v/>
      </c>
      <c r="P157" s="15">
        <f>IF(OR($A157="",B157=""),"",$A157*10+IF(B157="Max hangs",1,2))</f>
        <v/>
      </c>
    </row>
    <row r="158">
      <c r="A158" s="11" t="n"/>
      <c r="C158" s="12" t="n"/>
      <c r="H158" s="13" t="n"/>
      <c r="I158" s="14">
        <f>IF(COUNT(D158:F158)=0,"",ROUND(11-AVERAGE(D158:F158),1))</f>
        <v/>
      </c>
      <c r="J158" s="14">
        <f>IF(COUNT(D158:F158)=0,"",IF(11-MAX(D158:F158)&lt;=low_max,"LOW",IF(11-MAX(D158:F158)&lt;=watch_max,"WATCH","GOOD")))</f>
        <v/>
      </c>
      <c r="K158" s="15">
        <f>IF(OR($A158="",B158=""),"",IF(B158="Max hangs",COUNTIFS('Hang sets'!$N$3:$N$202,P158),COUNTIFS('Curl sets'!$P$3:$P$202,P158)))</f>
        <v/>
      </c>
      <c r="L158" s="14">
        <f>IF(OR(B158&lt;&gt;"Max hangs",N(K158)=0),"",_xlfn.MAXIFS('Hang sets'!$G$3:$G$202,'Hang sets'!$N$3:$N$202,P158))</f>
        <v/>
      </c>
      <c r="M158" s="14">
        <f>IF(OR(B158&lt;&gt;"Finger curls",N(K158)=0),"",_xlfn.MAXIFS('Curl sets'!$L$3:$L$202,'Curl sets'!$P$3:$P$202,P158))</f>
        <v/>
      </c>
      <c r="N158" s="14">
        <f>IF(OR(B158&lt;&gt;"Finger curls",N(K158)=0),"",_xlfn.MAXIFS('Curl sets'!$M$3:$M$202,'Curl sets'!$P$3:$P$202,P158))</f>
        <v/>
      </c>
      <c r="O158" s="14">
        <f>IF(COUNT(M158,N158)&lt;2,"",ROUND(100*(M158-N158)/MAX(M158,N158),1))</f>
        <v/>
      </c>
      <c r="P158" s="15">
        <f>IF(OR($A158="",B158=""),"",$A158*10+IF(B158="Max hangs",1,2))</f>
        <v/>
      </c>
    </row>
    <row r="159">
      <c r="A159" s="11" t="n"/>
      <c r="C159" s="12" t="n"/>
      <c r="H159" s="13" t="n"/>
      <c r="I159" s="14">
        <f>IF(COUNT(D159:F159)=0,"",ROUND(11-AVERAGE(D159:F159),1))</f>
        <v/>
      </c>
      <c r="J159" s="14">
        <f>IF(COUNT(D159:F159)=0,"",IF(11-MAX(D159:F159)&lt;=low_max,"LOW",IF(11-MAX(D159:F159)&lt;=watch_max,"WATCH","GOOD")))</f>
        <v/>
      </c>
      <c r="K159" s="15">
        <f>IF(OR($A159="",B159=""),"",IF(B159="Max hangs",COUNTIFS('Hang sets'!$N$3:$N$202,P159),COUNTIFS('Curl sets'!$P$3:$P$202,P159)))</f>
        <v/>
      </c>
      <c r="L159" s="14">
        <f>IF(OR(B159&lt;&gt;"Max hangs",N(K159)=0),"",_xlfn.MAXIFS('Hang sets'!$G$3:$G$202,'Hang sets'!$N$3:$N$202,P159))</f>
        <v/>
      </c>
      <c r="M159" s="14">
        <f>IF(OR(B159&lt;&gt;"Finger curls",N(K159)=0),"",_xlfn.MAXIFS('Curl sets'!$L$3:$L$202,'Curl sets'!$P$3:$P$202,P159))</f>
        <v/>
      </c>
      <c r="N159" s="14">
        <f>IF(OR(B159&lt;&gt;"Finger curls",N(K159)=0),"",_xlfn.MAXIFS('Curl sets'!$M$3:$M$202,'Curl sets'!$P$3:$P$202,P159))</f>
        <v/>
      </c>
      <c r="O159" s="14">
        <f>IF(COUNT(M159,N159)&lt;2,"",ROUND(100*(M159-N159)/MAX(M159,N159),1))</f>
        <v/>
      </c>
      <c r="P159" s="15">
        <f>IF(OR($A159="",B159=""),"",$A159*10+IF(B159="Max hangs",1,2))</f>
        <v/>
      </c>
    </row>
    <row r="160">
      <c r="A160" s="11" t="n"/>
      <c r="C160" s="12" t="n"/>
      <c r="H160" s="13" t="n"/>
      <c r="I160" s="14">
        <f>IF(COUNT(D160:F160)=0,"",ROUND(11-AVERAGE(D160:F160),1))</f>
        <v/>
      </c>
      <c r="J160" s="14">
        <f>IF(COUNT(D160:F160)=0,"",IF(11-MAX(D160:F160)&lt;=low_max,"LOW",IF(11-MAX(D160:F160)&lt;=watch_max,"WATCH","GOOD")))</f>
        <v/>
      </c>
      <c r="K160" s="15">
        <f>IF(OR($A160="",B160=""),"",IF(B160="Max hangs",COUNTIFS('Hang sets'!$N$3:$N$202,P160),COUNTIFS('Curl sets'!$P$3:$P$202,P160)))</f>
        <v/>
      </c>
      <c r="L160" s="14">
        <f>IF(OR(B160&lt;&gt;"Max hangs",N(K160)=0),"",_xlfn.MAXIFS('Hang sets'!$G$3:$G$202,'Hang sets'!$N$3:$N$202,P160))</f>
        <v/>
      </c>
      <c r="M160" s="14">
        <f>IF(OR(B160&lt;&gt;"Finger curls",N(K160)=0),"",_xlfn.MAXIFS('Curl sets'!$L$3:$L$202,'Curl sets'!$P$3:$P$202,P160))</f>
        <v/>
      </c>
      <c r="N160" s="14">
        <f>IF(OR(B160&lt;&gt;"Finger curls",N(K160)=0),"",_xlfn.MAXIFS('Curl sets'!$M$3:$M$202,'Curl sets'!$P$3:$P$202,P160))</f>
        <v/>
      </c>
      <c r="O160" s="14">
        <f>IF(COUNT(M160,N160)&lt;2,"",ROUND(100*(M160-N160)/MAX(M160,N160),1))</f>
        <v/>
      </c>
      <c r="P160" s="15">
        <f>IF(OR($A160="",B160=""),"",$A160*10+IF(B160="Max hangs",1,2))</f>
        <v/>
      </c>
    </row>
    <row r="161">
      <c r="A161" s="11" t="n"/>
      <c r="C161" s="12" t="n"/>
      <c r="H161" s="13" t="n"/>
      <c r="I161" s="14">
        <f>IF(COUNT(D161:F161)=0,"",ROUND(11-AVERAGE(D161:F161),1))</f>
        <v/>
      </c>
      <c r="J161" s="14">
        <f>IF(COUNT(D161:F161)=0,"",IF(11-MAX(D161:F161)&lt;=low_max,"LOW",IF(11-MAX(D161:F161)&lt;=watch_max,"WATCH","GOOD")))</f>
        <v/>
      </c>
      <c r="K161" s="15">
        <f>IF(OR($A161="",B161=""),"",IF(B161="Max hangs",COUNTIFS('Hang sets'!$N$3:$N$202,P161),COUNTIFS('Curl sets'!$P$3:$P$202,P161)))</f>
        <v/>
      </c>
      <c r="L161" s="14">
        <f>IF(OR(B161&lt;&gt;"Max hangs",N(K161)=0),"",_xlfn.MAXIFS('Hang sets'!$G$3:$G$202,'Hang sets'!$N$3:$N$202,P161))</f>
        <v/>
      </c>
      <c r="M161" s="14">
        <f>IF(OR(B161&lt;&gt;"Finger curls",N(K161)=0),"",_xlfn.MAXIFS('Curl sets'!$L$3:$L$202,'Curl sets'!$P$3:$P$202,P161))</f>
        <v/>
      </c>
      <c r="N161" s="14">
        <f>IF(OR(B161&lt;&gt;"Finger curls",N(K161)=0),"",_xlfn.MAXIFS('Curl sets'!$M$3:$M$202,'Curl sets'!$P$3:$P$202,P161))</f>
        <v/>
      </c>
      <c r="O161" s="14">
        <f>IF(COUNT(M161,N161)&lt;2,"",ROUND(100*(M161-N161)/MAX(M161,N161),1))</f>
        <v/>
      </c>
      <c r="P161" s="15">
        <f>IF(OR($A161="",B161=""),"",$A161*10+IF(B161="Max hangs",1,2))</f>
        <v/>
      </c>
    </row>
    <row r="162">
      <c r="A162" s="11" t="n"/>
      <c r="C162" s="12" t="n"/>
      <c r="H162" s="13" t="n"/>
      <c r="I162" s="14">
        <f>IF(COUNT(D162:F162)=0,"",ROUND(11-AVERAGE(D162:F162),1))</f>
        <v/>
      </c>
      <c r="J162" s="14">
        <f>IF(COUNT(D162:F162)=0,"",IF(11-MAX(D162:F162)&lt;=low_max,"LOW",IF(11-MAX(D162:F162)&lt;=watch_max,"WATCH","GOOD")))</f>
        <v/>
      </c>
      <c r="K162" s="15">
        <f>IF(OR($A162="",B162=""),"",IF(B162="Max hangs",COUNTIFS('Hang sets'!$N$3:$N$202,P162),COUNTIFS('Curl sets'!$P$3:$P$202,P162)))</f>
        <v/>
      </c>
      <c r="L162" s="14">
        <f>IF(OR(B162&lt;&gt;"Max hangs",N(K162)=0),"",_xlfn.MAXIFS('Hang sets'!$G$3:$G$202,'Hang sets'!$N$3:$N$202,P162))</f>
        <v/>
      </c>
      <c r="M162" s="14">
        <f>IF(OR(B162&lt;&gt;"Finger curls",N(K162)=0),"",_xlfn.MAXIFS('Curl sets'!$L$3:$L$202,'Curl sets'!$P$3:$P$202,P162))</f>
        <v/>
      </c>
      <c r="N162" s="14">
        <f>IF(OR(B162&lt;&gt;"Finger curls",N(K162)=0),"",_xlfn.MAXIFS('Curl sets'!$M$3:$M$202,'Curl sets'!$P$3:$P$202,P162))</f>
        <v/>
      </c>
      <c r="O162" s="14">
        <f>IF(COUNT(M162,N162)&lt;2,"",ROUND(100*(M162-N162)/MAX(M162,N162),1))</f>
        <v/>
      </c>
      <c r="P162" s="15">
        <f>IF(OR($A162="",B162=""),"",$A162*10+IF(B162="Max hangs",1,2))</f>
        <v/>
      </c>
    </row>
    <row r="163">
      <c r="A163" s="11" t="n"/>
      <c r="C163" s="12" t="n"/>
      <c r="H163" s="13" t="n"/>
      <c r="I163" s="14">
        <f>IF(COUNT(D163:F163)=0,"",ROUND(11-AVERAGE(D163:F163),1))</f>
        <v/>
      </c>
      <c r="J163" s="14">
        <f>IF(COUNT(D163:F163)=0,"",IF(11-MAX(D163:F163)&lt;=low_max,"LOW",IF(11-MAX(D163:F163)&lt;=watch_max,"WATCH","GOOD")))</f>
        <v/>
      </c>
      <c r="K163" s="15">
        <f>IF(OR($A163="",B163=""),"",IF(B163="Max hangs",COUNTIFS('Hang sets'!$N$3:$N$202,P163),COUNTIFS('Curl sets'!$P$3:$P$202,P163)))</f>
        <v/>
      </c>
      <c r="L163" s="14">
        <f>IF(OR(B163&lt;&gt;"Max hangs",N(K163)=0),"",_xlfn.MAXIFS('Hang sets'!$G$3:$G$202,'Hang sets'!$N$3:$N$202,P163))</f>
        <v/>
      </c>
      <c r="M163" s="14">
        <f>IF(OR(B163&lt;&gt;"Finger curls",N(K163)=0),"",_xlfn.MAXIFS('Curl sets'!$L$3:$L$202,'Curl sets'!$P$3:$P$202,P163))</f>
        <v/>
      </c>
      <c r="N163" s="14">
        <f>IF(OR(B163&lt;&gt;"Finger curls",N(K163)=0),"",_xlfn.MAXIFS('Curl sets'!$M$3:$M$202,'Curl sets'!$P$3:$P$202,P163))</f>
        <v/>
      </c>
      <c r="O163" s="14">
        <f>IF(COUNT(M163,N163)&lt;2,"",ROUND(100*(M163-N163)/MAX(M163,N163),1))</f>
        <v/>
      </c>
      <c r="P163" s="15">
        <f>IF(OR($A163="",B163=""),"",$A163*10+IF(B163="Max hangs",1,2))</f>
        <v/>
      </c>
    </row>
    <row r="164">
      <c r="A164" s="11" t="n"/>
      <c r="C164" s="12" t="n"/>
      <c r="H164" s="13" t="n"/>
      <c r="I164" s="14">
        <f>IF(COUNT(D164:F164)=0,"",ROUND(11-AVERAGE(D164:F164),1))</f>
        <v/>
      </c>
      <c r="J164" s="14">
        <f>IF(COUNT(D164:F164)=0,"",IF(11-MAX(D164:F164)&lt;=low_max,"LOW",IF(11-MAX(D164:F164)&lt;=watch_max,"WATCH","GOOD")))</f>
        <v/>
      </c>
      <c r="K164" s="15">
        <f>IF(OR($A164="",B164=""),"",IF(B164="Max hangs",COUNTIFS('Hang sets'!$N$3:$N$202,P164),COUNTIFS('Curl sets'!$P$3:$P$202,P164)))</f>
        <v/>
      </c>
      <c r="L164" s="14">
        <f>IF(OR(B164&lt;&gt;"Max hangs",N(K164)=0),"",_xlfn.MAXIFS('Hang sets'!$G$3:$G$202,'Hang sets'!$N$3:$N$202,P164))</f>
        <v/>
      </c>
      <c r="M164" s="14">
        <f>IF(OR(B164&lt;&gt;"Finger curls",N(K164)=0),"",_xlfn.MAXIFS('Curl sets'!$L$3:$L$202,'Curl sets'!$P$3:$P$202,P164))</f>
        <v/>
      </c>
      <c r="N164" s="14">
        <f>IF(OR(B164&lt;&gt;"Finger curls",N(K164)=0),"",_xlfn.MAXIFS('Curl sets'!$M$3:$M$202,'Curl sets'!$P$3:$P$202,P164))</f>
        <v/>
      </c>
      <c r="O164" s="14">
        <f>IF(COUNT(M164,N164)&lt;2,"",ROUND(100*(M164-N164)/MAX(M164,N164),1))</f>
        <v/>
      </c>
      <c r="P164" s="15">
        <f>IF(OR($A164="",B164=""),"",$A164*10+IF(B164="Max hangs",1,2))</f>
        <v/>
      </c>
    </row>
    <row r="165">
      <c r="A165" s="11" t="n"/>
      <c r="C165" s="12" t="n"/>
      <c r="H165" s="13" t="n"/>
      <c r="I165" s="14">
        <f>IF(COUNT(D165:F165)=0,"",ROUND(11-AVERAGE(D165:F165),1))</f>
        <v/>
      </c>
      <c r="J165" s="14">
        <f>IF(COUNT(D165:F165)=0,"",IF(11-MAX(D165:F165)&lt;=low_max,"LOW",IF(11-MAX(D165:F165)&lt;=watch_max,"WATCH","GOOD")))</f>
        <v/>
      </c>
      <c r="K165" s="15">
        <f>IF(OR($A165="",B165=""),"",IF(B165="Max hangs",COUNTIFS('Hang sets'!$N$3:$N$202,P165),COUNTIFS('Curl sets'!$P$3:$P$202,P165)))</f>
        <v/>
      </c>
      <c r="L165" s="14">
        <f>IF(OR(B165&lt;&gt;"Max hangs",N(K165)=0),"",_xlfn.MAXIFS('Hang sets'!$G$3:$G$202,'Hang sets'!$N$3:$N$202,P165))</f>
        <v/>
      </c>
      <c r="M165" s="14">
        <f>IF(OR(B165&lt;&gt;"Finger curls",N(K165)=0),"",_xlfn.MAXIFS('Curl sets'!$L$3:$L$202,'Curl sets'!$P$3:$P$202,P165))</f>
        <v/>
      </c>
      <c r="N165" s="14">
        <f>IF(OR(B165&lt;&gt;"Finger curls",N(K165)=0),"",_xlfn.MAXIFS('Curl sets'!$M$3:$M$202,'Curl sets'!$P$3:$P$202,P165))</f>
        <v/>
      </c>
      <c r="O165" s="14">
        <f>IF(COUNT(M165,N165)&lt;2,"",ROUND(100*(M165-N165)/MAX(M165,N165),1))</f>
        <v/>
      </c>
      <c r="P165" s="15">
        <f>IF(OR($A165="",B165=""),"",$A165*10+IF(B165="Max hangs",1,2))</f>
        <v/>
      </c>
    </row>
    <row r="166">
      <c r="A166" s="11" t="n"/>
      <c r="C166" s="12" t="n"/>
      <c r="H166" s="13" t="n"/>
      <c r="I166" s="14">
        <f>IF(COUNT(D166:F166)=0,"",ROUND(11-AVERAGE(D166:F166),1))</f>
        <v/>
      </c>
      <c r="J166" s="14">
        <f>IF(COUNT(D166:F166)=0,"",IF(11-MAX(D166:F166)&lt;=low_max,"LOW",IF(11-MAX(D166:F166)&lt;=watch_max,"WATCH","GOOD")))</f>
        <v/>
      </c>
      <c r="K166" s="15">
        <f>IF(OR($A166="",B166=""),"",IF(B166="Max hangs",COUNTIFS('Hang sets'!$N$3:$N$202,P166),COUNTIFS('Curl sets'!$P$3:$P$202,P166)))</f>
        <v/>
      </c>
      <c r="L166" s="14">
        <f>IF(OR(B166&lt;&gt;"Max hangs",N(K166)=0),"",_xlfn.MAXIFS('Hang sets'!$G$3:$G$202,'Hang sets'!$N$3:$N$202,P166))</f>
        <v/>
      </c>
      <c r="M166" s="14">
        <f>IF(OR(B166&lt;&gt;"Finger curls",N(K166)=0),"",_xlfn.MAXIFS('Curl sets'!$L$3:$L$202,'Curl sets'!$P$3:$P$202,P166))</f>
        <v/>
      </c>
      <c r="N166" s="14">
        <f>IF(OR(B166&lt;&gt;"Finger curls",N(K166)=0),"",_xlfn.MAXIFS('Curl sets'!$M$3:$M$202,'Curl sets'!$P$3:$P$202,P166))</f>
        <v/>
      </c>
      <c r="O166" s="14">
        <f>IF(COUNT(M166,N166)&lt;2,"",ROUND(100*(M166-N166)/MAX(M166,N166),1))</f>
        <v/>
      </c>
      <c r="P166" s="15">
        <f>IF(OR($A166="",B166=""),"",$A166*10+IF(B166="Max hangs",1,2))</f>
        <v/>
      </c>
    </row>
    <row r="167">
      <c r="A167" s="11" t="n"/>
      <c r="C167" s="12" t="n"/>
      <c r="H167" s="13" t="n"/>
      <c r="I167" s="14">
        <f>IF(COUNT(D167:F167)=0,"",ROUND(11-AVERAGE(D167:F167),1))</f>
        <v/>
      </c>
      <c r="J167" s="14">
        <f>IF(COUNT(D167:F167)=0,"",IF(11-MAX(D167:F167)&lt;=low_max,"LOW",IF(11-MAX(D167:F167)&lt;=watch_max,"WATCH","GOOD")))</f>
        <v/>
      </c>
      <c r="K167" s="15">
        <f>IF(OR($A167="",B167=""),"",IF(B167="Max hangs",COUNTIFS('Hang sets'!$N$3:$N$202,P167),COUNTIFS('Curl sets'!$P$3:$P$202,P167)))</f>
        <v/>
      </c>
      <c r="L167" s="14">
        <f>IF(OR(B167&lt;&gt;"Max hangs",N(K167)=0),"",_xlfn.MAXIFS('Hang sets'!$G$3:$G$202,'Hang sets'!$N$3:$N$202,P167))</f>
        <v/>
      </c>
      <c r="M167" s="14">
        <f>IF(OR(B167&lt;&gt;"Finger curls",N(K167)=0),"",_xlfn.MAXIFS('Curl sets'!$L$3:$L$202,'Curl sets'!$P$3:$P$202,P167))</f>
        <v/>
      </c>
      <c r="N167" s="14">
        <f>IF(OR(B167&lt;&gt;"Finger curls",N(K167)=0),"",_xlfn.MAXIFS('Curl sets'!$M$3:$M$202,'Curl sets'!$P$3:$P$202,P167))</f>
        <v/>
      </c>
      <c r="O167" s="14">
        <f>IF(COUNT(M167,N167)&lt;2,"",ROUND(100*(M167-N167)/MAX(M167,N167),1))</f>
        <v/>
      </c>
      <c r="P167" s="15">
        <f>IF(OR($A167="",B167=""),"",$A167*10+IF(B167="Max hangs",1,2))</f>
        <v/>
      </c>
    </row>
    <row r="168">
      <c r="A168" s="11" t="n"/>
      <c r="C168" s="12" t="n"/>
      <c r="H168" s="13" t="n"/>
      <c r="I168" s="14">
        <f>IF(COUNT(D168:F168)=0,"",ROUND(11-AVERAGE(D168:F168),1))</f>
        <v/>
      </c>
      <c r="J168" s="14">
        <f>IF(COUNT(D168:F168)=0,"",IF(11-MAX(D168:F168)&lt;=low_max,"LOW",IF(11-MAX(D168:F168)&lt;=watch_max,"WATCH","GOOD")))</f>
        <v/>
      </c>
      <c r="K168" s="15">
        <f>IF(OR($A168="",B168=""),"",IF(B168="Max hangs",COUNTIFS('Hang sets'!$N$3:$N$202,P168),COUNTIFS('Curl sets'!$P$3:$P$202,P168)))</f>
        <v/>
      </c>
      <c r="L168" s="14">
        <f>IF(OR(B168&lt;&gt;"Max hangs",N(K168)=0),"",_xlfn.MAXIFS('Hang sets'!$G$3:$G$202,'Hang sets'!$N$3:$N$202,P168))</f>
        <v/>
      </c>
      <c r="M168" s="14">
        <f>IF(OR(B168&lt;&gt;"Finger curls",N(K168)=0),"",_xlfn.MAXIFS('Curl sets'!$L$3:$L$202,'Curl sets'!$P$3:$P$202,P168))</f>
        <v/>
      </c>
      <c r="N168" s="14">
        <f>IF(OR(B168&lt;&gt;"Finger curls",N(K168)=0),"",_xlfn.MAXIFS('Curl sets'!$M$3:$M$202,'Curl sets'!$P$3:$P$202,P168))</f>
        <v/>
      </c>
      <c r="O168" s="14">
        <f>IF(COUNT(M168,N168)&lt;2,"",ROUND(100*(M168-N168)/MAX(M168,N168),1))</f>
        <v/>
      </c>
      <c r="P168" s="15">
        <f>IF(OR($A168="",B168=""),"",$A168*10+IF(B168="Max hangs",1,2))</f>
        <v/>
      </c>
    </row>
    <row r="169">
      <c r="A169" s="11" t="n"/>
      <c r="C169" s="12" t="n"/>
      <c r="H169" s="13" t="n"/>
      <c r="I169" s="14">
        <f>IF(COUNT(D169:F169)=0,"",ROUND(11-AVERAGE(D169:F169),1))</f>
        <v/>
      </c>
      <c r="J169" s="14">
        <f>IF(COUNT(D169:F169)=0,"",IF(11-MAX(D169:F169)&lt;=low_max,"LOW",IF(11-MAX(D169:F169)&lt;=watch_max,"WATCH","GOOD")))</f>
        <v/>
      </c>
      <c r="K169" s="15">
        <f>IF(OR($A169="",B169=""),"",IF(B169="Max hangs",COUNTIFS('Hang sets'!$N$3:$N$202,P169),COUNTIFS('Curl sets'!$P$3:$P$202,P169)))</f>
        <v/>
      </c>
      <c r="L169" s="14">
        <f>IF(OR(B169&lt;&gt;"Max hangs",N(K169)=0),"",_xlfn.MAXIFS('Hang sets'!$G$3:$G$202,'Hang sets'!$N$3:$N$202,P169))</f>
        <v/>
      </c>
      <c r="M169" s="14">
        <f>IF(OR(B169&lt;&gt;"Finger curls",N(K169)=0),"",_xlfn.MAXIFS('Curl sets'!$L$3:$L$202,'Curl sets'!$P$3:$P$202,P169))</f>
        <v/>
      </c>
      <c r="N169" s="14">
        <f>IF(OR(B169&lt;&gt;"Finger curls",N(K169)=0),"",_xlfn.MAXIFS('Curl sets'!$M$3:$M$202,'Curl sets'!$P$3:$P$202,P169))</f>
        <v/>
      </c>
      <c r="O169" s="14">
        <f>IF(COUNT(M169,N169)&lt;2,"",ROUND(100*(M169-N169)/MAX(M169,N169),1))</f>
        <v/>
      </c>
      <c r="P169" s="15">
        <f>IF(OR($A169="",B169=""),"",$A169*10+IF(B169="Max hangs",1,2))</f>
        <v/>
      </c>
    </row>
    <row r="170">
      <c r="A170" s="11" t="n"/>
      <c r="C170" s="12" t="n"/>
      <c r="H170" s="13" t="n"/>
      <c r="I170" s="14">
        <f>IF(COUNT(D170:F170)=0,"",ROUND(11-AVERAGE(D170:F170),1))</f>
        <v/>
      </c>
      <c r="J170" s="14">
        <f>IF(COUNT(D170:F170)=0,"",IF(11-MAX(D170:F170)&lt;=low_max,"LOW",IF(11-MAX(D170:F170)&lt;=watch_max,"WATCH","GOOD")))</f>
        <v/>
      </c>
      <c r="K170" s="15">
        <f>IF(OR($A170="",B170=""),"",IF(B170="Max hangs",COUNTIFS('Hang sets'!$N$3:$N$202,P170),COUNTIFS('Curl sets'!$P$3:$P$202,P170)))</f>
        <v/>
      </c>
      <c r="L170" s="14">
        <f>IF(OR(B170&lt;&gt;"Max hangs",N(K170)=0),"",_xlfn.MAXIFS('Hang sets'!$G$3:$G$202,'Hang sets'!$N$3:$N$202,P170))</f>
        <v/>
      </c>
      <c r="M170" s="14">
        <f>IF(OR(B170&lt;&gt;"Finger curls",N(K170)=0),"",_xlfn.MAXIFS('Curl sets'!$L$3:$L$202,'Curl sets'!$P$3:$P$202,P170))</f>
        <v/>
      </c>
      <c r="N170" s="14">
        <f>IF(OR(B170&lt;&gt;"Finger curls",N(K170)=0),"",_xlfn.MAXIFS('Curl sets'!$M$3:$M$202,'Curl sets'!$P$3:$P$202,P170))</f>
        <v/>
      </c>
      <c r="O170" s="14">
        <f>IF(COUNT(M170,N170)&lt;2,"",ROUND(100*(M170-N170)/MAX(M170,N170),1))</f>
        <v/>
      </c>
      <c r="P170" s="15">
        <f>IF(OR($A170="",B170=""),"",$A170*10+IF(B170="Max hangs",1,2))</f>
        <v/>
      </c>
    </row>
    <row r="171">
      <c r="A171" s="11" t="n"/>
      <c r="C171" s="12" t="n"/>
      <c r="H171" s="13" t="n"/>
      <c r="I171" s="14">
        <f>IF(COUNT(D171:F171)=0,"",ROUND(11-AVERAGE(D171:F171),1))</f>
        <v/>
      </c>
      <c r="J171" s="14">
        <f>IF(COUNT(D171:F171)=0,"",IF(11-MAX(D171:F171)&lt;=low_max,"LOW",IF(11-MAX(D171:F171)&lt;=watch_max,"WATCH","GOOD")))</f>
        <v/>
      </c>
      <c r="K171" s="15">
        <f>IF(OR($A171="",B171=""),"",IF(B171="Max hangs",COUNTIFS('Hang sets'!$N$3:$N$202,P171),COUNTIFS('Curl sets'!$P$3:$P$202,P171)))</f>
        <v/>
      </c>
      <c r="L171" s="14">
        <f>IF(OR(B171&lt;&gt;"Max hangs",N(K171)=0),"",_xlfn.MAXIFS('Hang sets'!$G$3:$G$202,'Hang sets'!$N$3:$N$202,P171))</f>
        <v/>
      </c>
      <c r="M171" s="14">
        <f>IF(OR(B171&lt;&gt;"Finger curls",N(K171)=0),"",_xlfn.MAXIFS('Curl sets'!$L$3:$L$202,'Curl sets'!$P$3:$P$202,P171))</f>
        <v/>
      </c>
      <c r="N171" s="14">
        <f>IF(OR(B171&lt;&gt;"Finger curls",N(K171)=0),"",_xlfn.MAXIFS('Curl sets'!$M$3:$M$202,'Curl sets'!$P$3:$P$202,P171))</f>
        <v/>
      </c>
      <c r="O171" s="14">
        <f>IF(COUNT(M171,N171)&lt;2,"",ROUND(100*(M171-N171)/MAX(M171,N171),1))</f>
        <v/>
      </c>
      <c r="P171" s="15">
        <f>IF(OR($A171="",B171=""),"",$A171*10+IF(B171="Max hangs",1,2))</f>
        <v/>
      </c>
    </row>
    <row r="172">
      <c r="A172" s="11" t="n"/>
      <c r="C172" s="12" t="n"/>
      <c r="H172" s="13" t="n"/>
      <c r="I172" s="14">
        <f>IF(COUNT(D172:F172)=0,"",ROUND(11-AVERAGE(D172:F172),1))</f>
        <v/>
      </c>
      <c r="J172" s="14">
        <f>IF(COUNT(D172:F172)=0,"",IF(11-MAX(D172:F172)&lt;=low_max,"LOW",IF(11-MAX(D172:F172)&lt;=watch_max,"WATCH","GOOD")))</f>
        <v/>
      </c>
      <c r="K172" s="15">
        <f>IF(OR($A172="",B172=""),"",IF(B172="Max hangs",COUNTIFS('Hang sets'!$N$3:$N$202,P172),COUNTIFS('Curl sets'!$P$3:$P$202,P172)))</f>
        <v/>
      </c>
      <c r="L172" s="14">
        <f>IF(OR(B172&lt;&gt;"Max hangs",N(K172)=0),"",_xlfn.MAXIFS('Hang sets'!$G$3:$G$202,'Hang sets'!$N$3:$N$202,P172))</f>
        <v/>
      </c>
      <c r="M172" s="14">
        <f>IF(OR(B172&lt;&gt;"Finger curls",N(K172)=0),"",_xlfn.MAXIFS('Curl sets'!$L$3:$L$202,'Curl sets'!$P$3:$P$202,P172))</f>
        <v/>
      </c>
      <c r="N172" s="14">
        <f>IF(OR(B172&lt;&gt;"Finger curls",N(K172)=0),"",_xlfn.MAXIFS('Curl sets'!$M$3:$M$202,'Curl sets'!$P$3:$P$202,P172))</f>
        <v/>
      </c>
      <c r="O172" s="14">
        <f>IF(COUNT(M172,N172)&lt;2,"",ROUND(100*(M172-N172)/MAX(M172,N172),1))</f>
        <v/>
      </c>
      <c r="P172" s="15">
        <f>IF(OR($A172="",B172=""),"",$A172*10+IF(B172="Max hangs",1,2))</f>
        <v/>
      </c>
    </row>
    <row r="173">
      <c r="A173" s="11" t="n"/>
      <c r="C173" s="12" t="n"/>
      <c r="H173" s="13" t="n"/>
      <c r="I173" s="14">
        <f>IF(COUNT(D173:F173)=0,"",ROUND(11-AVERAGE(D173:F173),1))</f>
        <v/>
      </c>
      <c r="J173" s="14">
        <f>IF(COUNT(D173:F173)=0,"",IF(11-MAX(D173:F173)&lt;=low_max,"LOW",IF(11-MAX(D173:F173)&lt;=watch_max,"WATCH","GOOD")))</f>
        <v/>
      </c>
      <c r="K173" s="15">
        <f>IF(OR($A173="",B173=""),"",IF(B173="Max hangs",COUNTIFS('Hang sets'!$N$3:$N$202,P173),COUNTIFS('Curl sets'!$P$3:$P$202,P173)))</f>
        <v/>
      </c>
      <c r="L173" s="14">
        <f>IF(OR(B173&lt;&gt;"Max hangs",N(K173)=0),"",_xlfn.MAXIFS('Hang sets'!$G$3:$G$202,'Hang sets'!$N$3:$N$202,P173))</f>
        <v/>
      </c>
      <c r="M173" s="14">
        <f>IF(OR(B173&lt;&gt;"Finger curls",N(K173)=0),"",_xlfn.MAXIFS('Curl sets'!$L$3:$L$202,'Curl sets'!$P$3:$P$202,P173))</f>
        <v/>
      </c>
      <c r="N173" s="14">
        <f>IF(OR(B173&lt;&gt;"Finger curls",N(K173)=0),"",_xlfn.MAXIFS('Curl sets'!$M$3:$M$202,'Curl sets'!$P$3:$P$202,P173))</f>
        <v/>
      </c>
      <c r="O173" s="14">
        <f>IF(COUNT(M173,N173)&lt;2,"",ROUND(100*(M173-N173)/MAX(M173,N173),1))</f>
        <v/>
      </c>
      <c r="P173" s="15">
        <f>IF(OR($A173="",B173=""),"",$A173*10+IF(B173="Max hangs",1,2))</f>
        <v/>
      </c>
    </row>
    <row r="174">
      <c r="A174" s="11" t="n"/>
      <c r="C174" s="12" t="n"/>
      <c r="H174" s="13" t="n"/>
      <c r="I174" s="14">
        <f>IF(COUNT(D174:F174)=0,"",ROUND(11-AVERAGE(D174:F174),1))</f>
        <v/>
      </c>
      <c r="J174" s="14">
        <f>IF(COUNT(D174:F174)=0,"",IF(11-MAX(D174:F174)&lt;=low_max,"LOW",IF(11-MAX(D174:F174)&lt;=watch_max,"WATCH","GOOD")))</f>
        <v/>
      </c>
      <c r="K174" s="15">
        <f>IF(OR($A174="",B174=""),"",IF(B174="Max hangs",COUNTIFS('Hang sets'!$N$3:$N$202,P174),COUNTIFS('Curl sets'!$P$3:$P$202,P174)))</f>
        <v/>
      </c>
      <c r="L174" s="14">
        <f>IF(OR(B174&lt;&gt;"Max hangs",N(K174)=0),"",_xlfn.MAXIFS('Hang sets'!$G$3:$G$202,'Hang sets'!$N$3:$N$202,P174))</f>
        <v/>
      </c>
      <c r="M174" s="14">
        <f>IF(OR(B174&lt;&gt;"Finger curls",N(K174)=0),"",_xlfn.MAXIFS('Curl sets'!$L$3:$L$202,'Curl sets'!$P$3:$P$202,P174))</f>
        <v/>
      </c>
      <c r="N174" s="14">
        <f>IF(OR(B174&lt;&gt;"Finger curls",N(K174)=0),"",_xlfn.MAXIFS('Curl sets'!$M$3:$M$202,'Curl sets'!$P$3:$P$202,P174))</f>
        <v/>
      </c>
      <c r="O174" s="14">
        <f>IF(COUNT(M174,N174)&lt;2,"",ROUND(100*(M174-N174)/MAX(M174,N174),1))</f>
        <v/>
      </c>
      <c r="P174" s="15">
        <f>IF(OR($A174="",B174=""),"",$A174*10+IF(B174="Max hangs",1,2))</f>
        <v/>
      </c>
    </row>
    <row r="175">
      <c r="A175" s="11" t="n"/>
      <c r="C175" s="12" t="n"/>
      <c r="H175" s="13" t="n"/>
      <c r="I175" s="14">
        <f>IF(COUNT(D175:F175)=0,"",ROUND(11-AVERAGE(D175:F175),1))</f>
        <v/>
      </c>
      <c r="J175" s="14">
        <f>IF(COUNT(D175:F175)=0,"",IF(11-MAX(D175:F175)&lt;=low_max,"LOW",IF(11-MAX(D175:F175)&lt;=watch_max,"WATCH","GOOD")))</f>
        <v/>
      </c>
      <c r="K175" s="15">
        <f>IF(OR($A175="",B175=""),"",IF(B175="Max hangs",COUNTIFS('Hang sets'!$N$3:$N$202,P175),COUNTIFS('Curl sets'!$P$3:$P$202,P175)))</f>
        <v/>
      </c>
      <c r="L175" s="14">
        <f>IF(OR(B175&lt;&gt;"Max hangs",N(K175)=0),"",_xlfn.MAXIFS('Hang sets'!$G$3:$G$202,'Hang sets'!$N$3:$N$202,P175))</f>
        <v/>
      </c>
      <c r="M175" s="14">
        <f>IF(OR(B175&lt;&gt;"Finger curls",N(K175)=0),"",_xlfn.MAXIFS('Curl sets'!$L$3:$L$202,'Curl sets'!$P$3:$P$202,P175))</f>
        <v/>
      </c>
      <c r="N175" s="14">
        <f>IF(OR(B175&lt;&gt;"Finger curls",N(K175)=0),"",_xlfn.MAXIFS('Curl sets'!$M$3:$M$202,'Curl sets'!$P$3:$P$202,P175))</f>
        <v/>
      </c>
      <c r="O175" s="14">
        <f>IF(COUNT(M175,N175)&lt;2,"",ROUND(100*(M175-N175)/MAX(M175,N175),1))</f>
        <v/>
      </c>
      <c r="P175" s="15">
        <f>IF(OR($A175="",B175=""),"",$A175*10+IF(B175="Max hangs",1,2))</f>
        <v/>
      </c>
    </row>
    <row r="176">
      <c r="A176" s="11" t="n"/>
      <c r="C176" s="12" t="n"/>
      <c r="H176" s="13" t="n"/>
      <c r="I176" s="14">
        <f>IF(COUNT(D176:F176)=0,"",ROUND(11-AVERAGE(D176:F176),1))</f>
        <v/>
      </c>
      <c r="J176" s="14">
        <f>IF(COUNT(D176:F176)=0,"",IF(11-MAX(D176:F176)&lt;=low_max,"LOW",IF(11-MAX(D176:F176)&lt;=watch_max,"WATCH","GOOD")))</f>
        <v/>
      </c>
      <c r="K176" s="15">
        <f>IF(OR($A176="",B176=""),"",IF(B176="Max hangs",COUNTIFS('Hang sets'!$N$3:$N$202,P176),COUNTIFS('Curl sets'!$P$3:$P$202,P176)))</f>
        <v/>
      </c>
      <c r="L176" s="14">
        <f>IF(OR(B176&lt;&gt;"Max hangs",N(K176)=0),"",_xlfn.MAXIFS('Hang sets'!$G$3:$G$202,'Hang sets'!$N$3:$N$202,P176))</f>
        <v/>
      </c>
      <c r="M176" s="14">
        <f>IF(OR(B176&lt;&gt;"Finger curls",N(K176)=0),"",_xlfn.MAXIFS('Curl sets'!$L$3:$L$202,'Curl sets'!$P$3:$P$202,P176))</f>
        <v/>
      </c>
      <c r="N176" s="14">
        <f>IF(OR(B176&lt;&gt;"Finger curls",N(K176)=0),"",_xlfn.MAXIFS('Curl sets'!$M$3:$M$202,'Curl sets'!$P$3:$P$202,P176))</f>
        <v/>
      </c>
      <c r="O176" s="14">
        <f>IF(COUNT(M176,N176)&lt;2,"",ROUND(100*(M176-N176)/MAX(M176,N176),1))</f>
        <v/>
      </c>
      <c r="P176" s="15">
        <f>IF(OR($A176="",B176=""),"",$A176*10+IF(B176="Max hangs",1,2))</f>
        <v/>
      </c>
    </row>
    <row r="177">
      <c r="A177" s="11" t="n"/>
      <c r="C177" s="12" t="n"/>
      <c r="H177" s="13" t="n"/>
      <c r="I177" s="14">
        <f>IF(COUNT(D177:F177)=0,"",ROUND(11-AVERAGE(D177:F177),1))</f>
        <v/>
      </c>
      <c r="J177" s="14">
        <f>IF(COUNT(D177:F177)=0,"",IF(11-MAX(D177:F177)&lt;=low_max,"LOW",IF(11-MAX(D177:F177)&lt;=watch_max,"WATCH","GOOD")))</f>
        <v/>
      </c>
      <c r="K177" s="15">
        <f>IF(OR($A177="",B177=""),"",IF(B177="Max hangs",COUNTIFS('Hang sets'!$N$3:$N$202,P177),COUNTIFS('Curl sets'!$P$3:$P$202,P177)))</f>
        <v/>
      </c>
      <c r="L177" s="14">
        <f>IF(OR(B177&lt;&gt;"Max hangs",N(K177)=0),"",_xlfn.MAXIFS('Hang sets'!$G$3:$G$202,'Hang sets'!$N$3:$N$202,P177))</f>
        <v/>
      </c>
      <c r="M177" s="14">
        <f>IF(OR(B177&lt;&gt;"Finger curls",N(K177)=0),"",_xlfn.MAXIFS('Curl sets'!$L$3:$L$202,'Curl sets'!$P$3:$P$202,P177))</f>
        <v/>
      </c>
      <c r="N177" s="14">
        <f>IF(OR(B177&lt;&gt;"Finger curls",N(K177)=0),"",_xlfn.MAXIFS('Curl sets'!$M$3:$M$202,'Curl sets'!$P$3:$P$202,P177))</f>
        <v/>
      </c>
      <c r="O177" s="14">
        <f>IF(COUNT(M177,N177)&lt;2,"",ROUND(100*(M177-N177)/MAX(M177,N177),1))</f>
        <v/>
      </c>
      <c r="P177" s="15">
        <f>IF(OR($A177="",B177=""),"",$A177*10+IF(B177="Max hangs",1,2))</f>
        <v/>
      </c>
    </row>
    <row r="178">
      <c r="A178" s="11" t="n"/>
      <c r="C178" s="12" t="n"/>
      <c r="H178" s="13" t="n"/>
      <c r="I178" s="14">
        <f>IF(COUNT(D178:F178)=0,"",ROUND(11-AVERAGE(D178:F178),1))</f>
        <v/>
      </c>
      <c r="J178" s="14">
        <f>IF(COUNT(D178:F178)=0,"",IF(11-MAX(D178:F178)&lt;=low_max,"LOW",IF(11-MAX(D178:F178)&lt;=watch_max,"WATCH","GOOD")))</f>
        <v/>
      </c>
      <c r="K178" s="15">
        <f>IF(OR($A178="",B178=""),"",IF(B178="Max hangs",COUNTIFS('Hang sets'!$N$3:$N$202,P178),COUNTIFS('Curl sets'!$P$3:$P$202,P178)))</f>
        <v/>
      </c>
      <c r="L178" s="14">
        <f>IF(OR(B178&lt;&gt;"Max hangs",N(K178)=0),"",_xlfn.MAXIFS('Hang sets'!$G$3:$G$202,'Hang sets'!$N$3:$N$202,P178))</f>
        <v/>
      </c>
      <c r="M178" s="14">
        <f>IF(OR(B178&lt;&gt;"Finger curls",N(K178)=0),"",_xlfn.MAXIFS('Curl sets'!$L$3:$L$202,'Curl sets'!$P$3:$P$202,P178))</f>
        <v/>
      </c>
      <c r="N178" s="14">
        <f>IF(OR(B178&lt;&gt;"Finger curls",N(K178)=0),"",_xlfn.MAXIFS('Curl sets'!$M$3:$M$202,'Curl sets'!$P$3:$P$202,P178))</f>
        <v/>
      </c>
      <c r="O178" s="14">
        <f>IF(COUNT(M178,N178)&lt;2,"",ROUND(100*(M178-N178)/MAX(M178,N178),1))</f>
        <v/>
      </c>
      <c r="P178" s="15">
        <f>IF(OR($A178="",B178=""),"",$A178*10+IF(B178="Max hangs",1,2))</f>
        <v/>
      </c>
    </row>
    <row r="179">
      <c r="A179" s="11" t="n"/>
      <c r="C179" s="12" t="n"/>
      <c r="H179" s="13" t="n"/>
      <c r="I179" s="14">
        <f>IF(COUNT(D179:F179)=0,"",ROUND(11-AVERAGE(D179:F179),1))</f>
        <v/>
      </c>
      <c r="J179" s="14">
        <f>IF(COUNT(D179:F179)=0,"",IF(11-MAX(D179:F179)&lt;=low_max,"LOW",IF(11-MAX(D179:F179)&lt;=watch_max,"WATCH","GOOD")))</f>
        <v/>
      </c>
      <c r="K179" s="15">
        <f>IF(OR($A179="",B179=""),"",IF(B179="Max hangs",COUNTIFS('Hang sets'!$N$3:$N$202,P179),COUNTIFS('Curl sets'!$P$3:$P$202,P179)))</f>
        <v/>
      </c>
      <c r="L179" s="14">
        <f>IF(OR(B179&lt;&gt;"Max hangs",N(K179)=0),"",_xlfn.MAXIFS('Hang sets'!$G$3:$G$202,'Hang sets'!$N$3:$N$202,P179))</f>
        <v/>
      </c>
      <c r="M179" s="14">
        <f>IF(OR(B179&lt;&gt;"Finger curls",N(K179)=0),"",_xlfn.MAXIFS('Curl sets'!$L$3:$L$202,'Curl sets'!$P$3:$P$202,P179))</f>
        <v/>
      </c>
      <c r="N179" s="14">
        <f>IF(OR(B179&lt;&gt;"Finger curls",N(K179)=0),"",_xlfn.MAXIFS('Curl sets'!$M$3:$M$202,'Curl sets'!$P$3:$P$202,P179))</f>
        <v/>
      </c>
      <c r="O179" s="14">
        <f>IF(COUNT(M179,N179)&lt;2,"",ROUND(100*(M179-N179)/MAX(M179,N179),1))</f>
        <v/>
      </c>
      <c r="P179" s="15">
        <f>IF(OR($A179="",B179=""),"",$A179*10+IF(B179="Max hangs",1,2))</f>
        <v/>
      </c>
    </row>
    <row r="180">
      <c r="A180" s="11" t="n"/>
      <c r="C180" s="12" t="n"/>
      <c r="H180" s="13" t="n"/>
      <c r="I180" s="14">
        <f>IF(COUNT(D180:F180)=0,"",ROUND(11-AVERAGE(D180:F180),1))</f>
        <v/>
      </c>
      <c r="J180" s="14">
        <f>IF(COUNT(D180:F180)=0,"",IF(11-MAX(D180:F180)&lt;=low_max,"LOW",IF(11-MAX(D180:F180)&lt;=watch_max,"WATCH","GOOD")))</f>
        <v/>
      </c>
      <c r="K180" s="15">
        <f>IF(OR($A180="",B180=""),"",IF(B180="Max hangs",COUNTIFS('Hang sets'!$N$3:$N$202,P180),COUNTIFS('Curl sets'!$P$3:$P$202,P180)))</f>
        <v/>
      </c>
      <c r="L180" s="14">
        <f>IF(OR(B180&lt;&gt;"Max hangs",N(K180)=0),"",_xlfn.MAXIFS('Hang sets'!$G$3:$G$202,'Hang sets'!$N$3:$N$202,P180))</f>
        <v/>
      </c>
      <c r="M180" s="14">
        <f>IF(OR(B180&lt;&gt;"Finger curls",N(K180)=0),"",_xlfn.MAXIFS('Curl sets'!$L$3:$L$202,'Curl sets'!$P$3:$P$202,P180))</f>
        <v/>
      </c>
      <c r="N180" s="14">
        <f>IF(OR(B180&lt;&gt;"Finger curls",N(K180)=0),"",_xlfn.MAXIFS('Curl sets'!$M$3:$M$202,'Curl sets'!$P$3:$P$202,P180))</f>
        <v/>
      </c>
      <c r="O180" s="14">
        <f>IF(COUNT(M180,N180)&lt;2,"",ROUND(100*(M180-N180)/MAX(M180,N180),1))</f>
        <v/>
      </c>
      <c r="P180" s="15">
        <f>IF(OR($A180="",B180=""),"",$A180*10+IF(B180="Max hangs",1,2))</f>
        <v/>
      </c>
    </row>
    <row r="181">
      <c r="A181" s="11" t="n"/>
      <c r="C181" s="12" t="n"/>
      <c r="H181" s="13" t="n"/>
      <c r="I181" s="14">
        <f>IF(COUNT(D181:F181)=0,"",ROUND(11-AVERAGE(D181:F181),1))</f>
        <v/>
      </c>
      <c r="J181" s="14">
        <f>IF(COUNT(D181:F181)=0,"",IF(11-MAX(D181:F181)&lt;=low_max,"LOW",IF(11-MAX(D181:F181)&lt;=watch_max,"WATCH","GOOD")))</f>
        <v/>
      </c>
      <c r="K181" s="15">
        <f>IF(OR($A181="",B181=""),"",IF(B181="Max hangs",COUNTIFS('Hang sets'!$N$3:$N$202,P181),COUNTIFS('Curl sets'!$P$3:$P$202,P181)))</f>
        <v/>
      </c>
      <c r="L181" s="14">
        <f>IF(OR(B181&lt;&gt;"Max hangs",N(K181)=0),"",_xlfn.MAXIFS('Hang sets'!$G$3:$G$202,'Hang sets'!$N$3:$N$202,P181))</f>
        <v/>
      </c>
      <c r="M181" s="14">
        <f>IF(OR(B181&lt;&gt;"Finger curls",N(K181)=0),"",_xlfn.MAXIFS('Curl sets'!$L$3:$L$202,'Curl sets'!$P$3:$P$202,P181))</f>
        <v/>
      </c>
      <c r="N181" s="14">
        <f>IF(OR(B181&lt;&gt;"Finger curls",N(K181)=0),"",_xlfn.MAXIFS('Curl sets'!$M$3:$M$202,'Curl sets'!$P$3:$P$202,P181))</f>
        <v/>
      </c>
      <c r="O181" s="14">
        <f>IF(COUNT(M181,N181)&lt;2,"",ROUND(100*(M181-N181)/MAX(M181,N181),1))</f>
        <v/>
      </c>
      <c r="P181" s="15">
        <f>IF(OR($A181="",B181=""),"",$A181*10+IF(B181="Max hangs",1,2))</f>
        <v/>
      </c>
    </row>
    <row r="182">
      <c r="A182" s="11" t="n"/>
      <c r="C182" s="12" t="n"/>
      <c r="H182" s="13" t="n"/>
      <c r="I182" s="14">
        <f>IF(COUNT(D182:F182)=0,"",ROUND(11-AVERAGE(D182:F182),1))</f>
        <v/>
      </c>
      <c r="J182" s="14">
        <f>IF(COUNT(D182:F182)=0,"",IF(11-MAX(D182:F182)&lt;=low_max,"LOW",IF(11-MAX(D182:F182)&lt;=watch_max,"WATCH","GOOD")))</f>
        <v/>
      </c>
      <c r="K182" s="15">
        <f>IF(OR($A182="",B182=""),"",IF(B182="Max hangs",COUNTIFS('Hang sets'!$N$3:$N$202,P182),COUNTIFS('Curl sets'!$P$3:$P$202,P182)))</f>
        <v/>
      </c>
      <c r="L182" s="14">
        <f>IF(OR(B182&lt;&gt;"Max hangs",N(K182)=0),"",_xlfn.MAXIFS('Hang sets'!$G$3:$G$202,'Hang sets'!$N$3:$N$202,P182))</f>
        <v/>
      </c>
      <c r="M182" s="14">
        <f>IF(OR(B182&lt;&gt;"Finger curls",N(K182)=0),"",_xlfn.MAXIFS('Curl sets'!$L$3:$L$202,'Curl sets'!$P$3:$P$202,P182))</f>
        <v/>
      </c>
      <c r="N182" s="14">
        <f>IF(OR(B182&lt;&gt;"Finger curls",N(K182)=0),"",_xlfn.MAXIFS('Curl sets'!$M$3:$M$202,'Curl sets'!$P$3:$P$202,P182))</f>
        <v/>
      </c>
      <c r="O182" s="14">
        <f>IF(COUNT(M182,N182)&lt;2,"",ROUND(100*(M182-N182)/MAX(M182,N182),1))</f>
        <v/>
      </c>
      <c r="P182" s="15">
        <f>IF(OR($A182="",B182=""),"",$A182*10+IF(B182="Max hangs",1,2))</f>
        <v/>
      </c>
    </row>
    <row r="183">
      <c r="A183" s="11" t="n"/>
      <c r="C183" s="12" t="n"/>
      <c r="H183" s="13" t="n"/>
      <c r="I183" s="14">
        <f>IF(COUNT(D183:F183)=0,"",ROUND(11-AVERAGE(D183:F183),1))</f>
        <v/>
      </c>
      <c r="J183" s="14">
        <f>IF(COUNT(D183:F183)=0,"",IF(11-MAX(D183:F183)&lt;=low_max,"LOW",IF(11-MAX(D183:F183)&lt;=watch_max,"WATCH","GOOD")))</f>
        <v/>
      </c>
      <c r="K183" s="15">
        <f>IF(OR($A183="",B183=""),"",IF(B183="Max hangs",COUNTIFS('Hang sets'!$N$3:$N$202,P183),COUNTIFS('Curl sets'!$P$3:$P$202,P183)))</f>
        <v/>
      </c>
      <c r="L183" s="14">
        <f>IF(OR(B183&lt;&gt;"Max hangs",N(K183)=0),"",_xlfn.MAXIFS('Hang sets'!$G$3:$G$202,'Hang sets'!$N$3:$N$202,P183))</f>
        <v/>
      </c>
      <c r="M183" s="14">
        <f>IF(OR(B183&lt;&gt;"Finger curls",N(K183)=0),"",_xlfn.MAXIFS('Curl sets'!$L$3:$L$202,'Curl sets'!$P$3:$P$202,P183))</f>
        <v/>
      </c>
      <c r="N183" s="14">
        <f>IF(OR(B183&lt;&gt;"Finger curls",N(K183)=0),"",_xlfn.MAXIFS('Curl sets'!$M$3:$M$202,'Curl sets'!$P$3:$P$202,P183))</f>
        <v/>
      </c>
      <c r="O183" s="14">
        <f>IF(COUNT(M183,N183)&lt;2,"",ROUND(100*(M183-N183)/MAX(M183,N183),1))</f>
        <v/>
      </c>
      <c r="P183" s="15">
        <f>IF(OR($A183="",B183=""),"",$A183*10+IF(B183="Max hangs",1,2))</f>
        <v/>
      </c>
    </row>
    <row r="184">
      <c r="A184" s="11" t="n"/>
      <c r="C184" s="12" t="n"/>
      <c r="H184" s="13" t="n"/>
      <c r="I184" s="14">
        <f>IF(COUNT(D184:F184)=0,"",ROUND(11-AVERAGE(D184:F184),1))</f>
        <v/>
      </c>
      <c r="J184" s="14">
        <f>IF(COUNT(D184:F184)=0,"",IF(11-MAX(D184:F184)&lt;=low_max,"LOW",IF(11-MAX(D184:F184)&lt;=watch_max,"WATCH","GOOD")))</f>
        <v/>
      </c>
      <c r="K184" s="15">
        <f>IF(OR($A184="",B184=""),"",IF(B184="Max hangs",COUNTIFS('Hang sets'!$N$3:$N$202,P184),COUNTIFS('Curl sets'!$P$3:$P$202,P184)))</f>
        <v/>
      </c>
      <c r="L184" s="14">
        <f>IF(OR(B184&lt;&gt;"Max hangs",N(K184)=0),"",_xlfn.MAXIFS('Hang sets'!$G$3:$G$202,'Hang sets'!$N$3:$N$202,P184))</f>
        <v/>
      </c>
      <c r="M184" s="14">
        <f>IF(OR(B184&lt;&gt;"Finger curls",N(K184)=0),"",_xlfn.MAXIFS('Curl sets'!$L$3:$L$202,'Curl sets'!$P$3:$P$202,P184))</f>
        <v/>
      </c>
      <c r="N184" s="14">
        <f>IF(OR(B184&lt;&gt;"Finger curls",N(K184)=0),"",_xlfn.MAXIFS('Curl sets'!$M$3:$M$202,'Curl sets'!$P$3:$P$202,P184))</f>
        <v/>
      </c>
      <c r="O184" s="14">
        <f>IF(COUNT(M184,N184)&lt;2,"",ROUND(100*(M184-N184)/MAX(M184,N184),1))</f>
        <v/>
      </c>
      <c r="P184" s="15">
        <f>IF(OR($A184="",B184=""),"",$A184*10+IF(B184="Max hangs",1,2))</f>
        <v/>
      </c>
    </row>
    <row r="185">
      <c r="A185" s="11" t="n"/>
      <c r="C185" s="12" t="n"/>
      <c r="H185" s="13" t="n"/>
      <c r="I185" s="14">
        <f>IF(COUNT(D185:F185)=0,"",ROUND(11-AVERAGE(D185:F185),1))</f>
        <v/>
      </c>
      <c r="J185" s="14">
        <f>IF(COUNT(D185:F185)=0,"",IF(11-MAX(D185:F185)&lt;=low_max,"LOW",IF(11-MAX(D185:F185)&lt;=watch_max,"WATCH","GOOD")))</f>
        <v/>
      </c>
      <c r="K185" s="15">
        <f>IF(OR($A185="",B185=""),"",IF(B185="Max hangs",COUNTIFS('Hang sets'!$N$3:$N$202,P185),COUNTIFS('Curl sets'!$P$3:$P$202,P185)))</f>
        <v/>
      </c>
      <c r="L185" s="14">
        <f>IF(OR(B185&lt;&gt;"Max hangs",N(K185)=0),"",_xlfn.MAXIFS('Hang sets'!$G$3:$G$202,'Hang sets'!$N$3:$N$202,P185))</f>
        <v/>
      </c>
      <c r="M185" s="14">
        <f>IF(OR(B185&lt;&gt;"Finger curls",N(K185)=0),"",_xlfn.MAXIFS('Curl sets'!$L$3:$L$202,'Curl sets'!$P$3:$P$202,P185))</f>
        <v/>
      </c>
      <c r="N185" s="14">
        <f>IF(OR(B185&lt;&gt;"Finger curls",N(K185)=0),"",_xlfn.MAXIFS('Curl sets'!$M$3:$M$202,'Curl sets'!$P$3:$P$202,P185))</f>
        <v/>
      </c>
      <c r="O185" s="14">
        <f>IF(COUNT(M185,N185)&lt;2,"",ROUND(100*(M185-N185)/MAX(M185,N185),1))</f>
        <v/>
      </c>
      <c r="P185" s="15">
        <f>IF(OR($A185="",B185=""),"",$A185*10+IF(B185="Max hangs",1,2))</f>
        <v/>
      </c>
    </row>
    <row r="186">
      <c r="A186" s="11" t="n"/>
      <c r="C186" s="12" t="n"/>
      <c r="H186" s="13" t="n"/>
      <c r="I186" s="14">
        <f>IF(COUNT(D186:F186)=0,"",ROUND(11-AVERAGE(D186:F186),1))</f>
        <v/>
      </c>
      <c r="J186" s="14">
        <f>IF(COUNT(D186:F186)=0,"",IF(11-MAX(D186:F186)&lt;=low_max,"LOW",IF(11-MAX(D186:F186)&lt;=watch_max,"WATCH","GOOD")))</f>
        <v/>
      </c>
      <c r="K186" s="15">
        <f>IF(OR($A186="",B186=""),"",IF(B186="Max hangs",COUNTIFS('Hang sets'!$N$3:$N$202,P186),COUNTIFS('Curl sets'!$P$3:$P$202,P186)))</f>
        <v/>
      </c>
      <c r="L186" s="14">
        <f>IF(OR(B186&lt;&gt;"Max hangs",N(K186)=0),"",_xlfn.MAXIFS('Hang sets'!$G$3:$G$202,'Hang sets'!$N$3:$N$202,P186))</f>
        <v/>
      </c>
      <c r="M186" s="14">
        <f>IF(OR(B186&lt;&gt;"Finger curls",N(K186)=0),"",_xlfn.MAXIFS('Curl sets'!$L$3:$L$202,'Curl sets'!$P$3:$P$202,P186))</f>
        <v/>
      </c>
      <c r="N186" s="14">
        <f>IF(OR(B186&lt;&gt;"Finger curls",N(K186)=0),"",_xlfn.MAXIFS('Curl sets'!$M$3:$M$202,'Curl sets'!$P$3:$P$202,P186))</f>
        <v/>
      </c>
      <c r="O186" s="14">
        <f>IF(COUNT(M186,N186)&lt;2,"",ROUND(100*(M186-N186)/MAX(M186,N186),1))</f>
        <v/>
      </c>
      <c r="P186" s="15">
        <f>IF(OR($A186="",B186=""),"",$A186*10+IF(B186="Max hangs",1,2))</f>
        <v/>
      </c>
    </row>
    <row r="187">
      <c r="A187" s="11" t="n"/>
      <c r="C187" s="12" t="n"/>
      <c r="H187" s="13" t="n"/>
      <c r="I187" s="14">
        <f>IF(COUNT(D187:F187)=0,"",ROUND(11-AVERAGE(D187:F187),1))</f>
        <v/>
      </c>
      <c r="J187" s="14">
        <f>IF(COUNT(D187:F187)=0,"",IF(11-MAX(D187:F187)&lt;=low_max,"LOW",IF(11-MAX(D187:F187)&lt;=watch_max,"WATCH","GOOD")))</f>
        <v/>
      </c>
      <c r="K187" s="15">
        <f>IF(OR($A187="",B187=""),"",IF(B187="Max hangs",COUNTIFS('Hang sets'!$N$3:$N$202,P187),COUNTIFS('Curl sets'!$P$3:$P$202,P187)))</f>
        <v/>
      </c>
      <c r="L187" s="14">
        <f>IF(OR(B187&lt;&gt;"Max hangs",N(K187)=0),"",_xlfn.MAXIFS('Hang sets'!$G$3:$G$202,'Hang sets'!$N$3:$N$202,P187))</f>
        <v/>
      </c>
      <c r="M187" s="14">
        <f>IF(OR(B187&lt;&gt;"Finger curls",N(K187)=0),"",_xlfn.MAXIFS('Curl sets'!$L$3:$L$202,'Curl sets'!$P$3:$P$202,P187))</f>
        <v/>
      </c>
      <c r="N187" s="14">
        <f>IF(OR(B187&lt;&gt;"Finger curls",N(K187)=0),"",_xlfn.MAXIFS('Curl sets'!$M$3:$M$202,'Curl sets'!$P$3:$P$202,P187))</f>
        <v/>
      </c>
      <c r="O187" s="14">
        <f>IF(COUNT(M187,N187)&lt;2,"",ROUND(100*(M187-N187)/MAX(M187,N187),1))</f>
        <v/>
      </c>
      <c r="P187" s="15">
        <f>IF(OR($A187="",B187=""),"",$A187*10+IF(B187="Max hangs",1,2))</f>
        <v/>
      </c>
    </row>
    <row r="188">
      <c r="A188" s="11" t="n"/>
      <c r="C188" s="12" t="n"/>
      <c r="H188" s="13" t="n"/>
      <c r="I188" s="14">
        <f>IF(COUNT(D188:F188)=0,"",ROUND(11-AVERAGE(D188:F188),1))</f>
        <v/>
      </c>
      <c r="J188" s="14">
        <f>IF(COUNT(D188:F188)=0,"",IF(11-MAX(D188:F188)&lt;=low_max,"LOW",IF(11-MAX(D188:F188)&lt;=watch_max,"WATCH","GOOD")))</f>
        <v/>
      </c>
      <c r="K188" s="15">
        <f>IF(OR($A188="",B188=""),"",IF(B188="Max hangs",COUNTIFS('Hang sets'!$N$3:$N$202,P188),COUNTIFS('Curl sets'!$P$3:$P$202,P188)))</f>
        <v/>
      </c>
      <c r="L188" s="14">
        <f>IF(OR(B188&lt;&gt;"Max hangs",N(K188)=0),"",_xlfn.MAXIFS('Hang sets'!$G$3:$G$202,'Hang sets'!$N$3:$N$202,P188))</f>
        <v/>
      </c>
      <c r="M188" s="14">
        <f>IF(OR(B188&lt;&gt;"Finger curls",N(K188)=0),"",_xlfn.MAXIFS('Curl sets'!$L$3:$L$202,'Curl sets'!$P$3:$P$202,P188))</f>
        <v/>
      </c>
      <c r="N188" s="14">
        <f>IF(OR(B188&lt;&gt;"Finger curls",N(K188)=0),"",_xlfn.MAXIFS('Curl sets'!$M$3:$M$202,'Curl sets'!$P$3:$P$202,P188))</f>
        <v/>
      </c>
      <c r="O188" s="14">
        <f>IF(COUNT(M188,N188)&lt;2,"",ROUND(100*(M188-N188)/MAX(M188,N188),1))</f>
        <v/>
      </c>
      <c r="P188" s="15">
        <f>IF(OR($A188="",B188=""),"",$A188*10+IF(B188="Max hangs",1,2))</f>
        <v/>
      </c>
    </row>
    <row r="189">
      <c r="A189" s="11" t="n"/>
      <c r="C189" s="12" t="n"/>
      <c r="H189" s="13" t="n"/>
      <c r="I189" s="14">
        <f>IF(COUNT(D189:F189)=0,"",ROUND(11-AVERAGE(D189:F189),1))</f>
        <v/>
      </c>
      <c r="J189" s="14">
        <f>IF(COUNT(D189:F189)=0,"",IF(11-MAX(D189:F189)&lt;=low_max,"LOW",IF(11-MAX(D189:F189)&lt;=watch_max,"WATCH","GOOD")))</f>
        <v/>
      </c>
      <c r="K189" s="15">
        <f>IF(OR($A189="",B189=""),"",IF(B189="Max hangs",COUNTIFS('Hang sets'!$N$3:$N$202,P189),COUNTIFS('Curl sets'!$P$3:$P$202,P189)))</f>
        <v/>
      </c>
      <c r="L189" s="14">
        <f>IF(OR(B189&lt;&gt;"Max hangs",N(K189)=0),"",_xlfn.MAXIFS('Hang sets'!$G$3:$G$202,'Hang sets'!$N$3:$N$202,P189))</f>
        <v/>
      </c>
      <c r="M189" s="14">
        <f>IF(OR(B189&lt;&gt;"Finger curls",N(K189)=0),"",_xlfn.MAXIFS('Curl sets'!$L$3:$L$202,'Curl sets'!$P$3:$P$202,P189))</f>
        <v/>
      </c>
      <c r="N189" s="14">
        <f>IF(OR(B189&lt;&gt;"Finger curls",N(K189)=0),"",_xlfn.MAXIFS('Curl sets'!$M$3:$M$202,'Curl sets'!$P$3:$P$202,P189))</f>
        <v/>
      </c>
      <c r="O189" s="14">
        <f>IF(COUNT(M189,N189)&lt;2,"",ROUND(100*(M189-N189)/MAX(M189,N189),1))</f>
        <v/>
      </c>
      <c r="P189" s="15">
        <f>IF(OR($A189="",B189=""),"",$A189*10+IF(B189="Max hangs",1,2))</f>
        <v/>
      </c>
    </row>
    <row r="190">
      <c r="A190" s="11" t="n"/>
      <c r="C190" s="12" t="n"/>
      <c r="H190" s="13" t="n"/>
      <c r="I190" s="14">
        <f>IF(COUNT(D190:F190)=0,"",ROUND(11-AVERAGE(D190:F190),1))</f>
        <v/>
      </c>
      <c r="J190" s="14">
        <f>IF(COUNT(D190:F190)=0,"",IF(11-MAX(D190:F190)&lt;=low_max,"LOW",IF(11-MAX(D190:F190)&lt;=watch_max,"WATCH","GOOD")))</f>
        <v/>
      </c>
      <c r="K190" s="15">
        <f>IF(OR($A190="",B190=""),"",IF(B190="Max hangs",COUNTIFS('Hang sets'!$N$3:$N$202,P190),COUNTIFS('Curl sets'!$P$3:$P$202,P190)))</f>
        <v/>
      </c>
      <c r="L190" s="14">
        <f>IF(OR(B190&lt;&gt;"Max hangs",N(K190)=0),"",_xlfn.MAXIFS('Hang sets'!$G$3:$G$202,'Hang sets'!$N$3:$N$202,P190))</f>
        <v/>
      </c>
      <c r="M190" s="14">
        <f>IF(OR(B190&lt;&gt;"Finger curls",N(K190)=0),"",_xlfn.MAXIFS('Curl sets'!$L$3:$L$202,'Curl sets'!$P$3:$P$202,P190))</f>
        <v/>
      </c>
      <c r="N190" s="14">
        <f>IF(OR(B190&lt;&gt;"Finger curls",N(K190)=0),"",_xlfn.MAXIFS('Curl sets'!$M$3:$M$202,'Curl sets'!$P$3:$P$202,P190))</f>
        <v/>
      </c>
      <c r="O190" s="14">
        <f>IF(COUNT(M190,N190)&lt;2,"",ROUND(100*(M190-N190)/MAX(M190,N190),1))</f>
        <v/>
      </c>
      <c r="P190" s="15">
        <f>IF(OR($A190="",B190=""),"",$A190*10+IF(B190="Max hangs",1,2))</f>
        <v/>
      </c>
    </row>
    <row r="191">
      <c r="A191" s="11" t="n"/>
      <c r="C191" s="12" t="n"/>
      <c r="H191" s="13" t="n"/>
      <c r="I191" s="14">
        <f>IF(COUNT(D191:F191)=0,"",ROUND(11-AVERAGE(D191:F191),1))</f>
        <v/>
      </c>
      <c r="J191" s="14">
        <f>IF(COUNT(D191:F191)=0,"",IF(11-MAX(D191:F191)&lt;=low_max,"LOW",IF(11-MAX(D191:F191)&lt;=watch_max,"WATCH","GOOD")))</f>
        <v/>
      </c>
      <c r="K191" s="15">
        <f>IF(OR($A191="",B191=""),"",IF(B191="Max hangs",COUNTIFS('Hang sets'!$N$3:$N$202,P191),COUNTIFS('Curl sets'!$P$3:$P$202,P191)))</f>
        <v/>
      </c>
      <c r="L191" s="14">
        <f>IF(OR(B191&lt;&gt;"Max hangs",N(K191)=0),"",_xlfn.MAXIFS('Hang sets'!$G$3:$G$202,'Hang sets'!$N$3:$N$202,P191))</f>
        <v/>
      </c>
      <c r="M191" s="14">
        <f>IF(OR(B191&lt;&gt;"Finger curls",N(K191)=0),"",_xlfn.MAXIFS('Curl sets'!$L$3:$L$202,'Curl sets'!$P$3:$P$202,P191))</f>
        <v/>
      </c>
      <c r="N191" s="14">
        <f>IF(OR(B191&lt;&gt;"Finger curls",N(K191)=0),"",_xlfn.MAXIFS('Curl sets'!$M$3:$M$202,'Curl sets'!$P$3:$P$202,P191))</f>
        <v/>
      </c>
      <c r="O191" s="14">
        <f>IF(COUNT(M191,N191)&lt;2,"",ROUND(100*(M191-N191)/MAX(M191,N191),1))</f>
        <v/>
      </c>
      <c r="P191" s="15">
        <f>IF(OR($A191="",B191=""),"",$A191*10+IF(B191="Max hangs",1,2))</f>
        <v/>
      </c>
    </row>
    <row r="192">
      <c r="A192" s="11" t="n"/>
      <c r="C192" s="12" t="n"/>
      <c r="H192" s="13" t="n"/>
      <c r="I192" s="14">
        <f>IF(COUNT(D192:F192)=0,"",ROUND(11-AVERAGE(D192:F192),1))</f>
        <v/>
      </c>
      <c r="J192" s="14">
        <f>IF(COUNT(D192:F192)=0,"",IF(11-MAX(D192:F192)&lt;=low_max,"LOW",IF(11-MAX(D192:F192)&lt;=watch_max,"WATCH","GOOD")))</f>
        <v/>
      </c>
      <c r="K192" s="15">
        <f>IF(OR($A192="",B192=""),"",IF(B192="Max hangs",COUNTIFS('Hang sets'!$N$3:$N$202,P192),COUNTIFS('Curl sets'!$P$3:$P$202,P192)))</f>
        <v/>
      </c>
      <c r="L192" s="14">
        <f>IF(OR(B192&lt;&gt;"Max hangs",N(K192)=0),"",_xlfn.MAXIFS('Hang sets'!$G$3:$G$202,'Hang sets'!$N$3:$N$202,P192))</f>
        <v/>
      </c>
      <c r="M192" s="14">
        <f>IF(OR(B192&lt;&gt;"Finger curls",N(K192)=0),"",_xlfn.MAXIFS('Curl sets'!$L$3:$L$202,'Curl sets'!$P$3:$P$202,P192))</f>
        <v/>
      </c>
      <c r="N192" s="14">
        <f>IF(OR(B192&lt;&gt;"Finger curls",N(K192)=0),"",_xlfn.MAXIFS('Curl sets'!$M$3:$M$202,'Curl sets'!$P$3:$P$202,P192))</f>
        <v/>
      </c>
      <c r="O192" s="14">
        <f>IF(COUNT(M192,N192)&lt;2,"",ROUND(100*(M192-N192)/MAX(M192,N192),1))</f>
        <v/>
      </c>
      <c r="P192" s="15">
        <f>IF(OR($A192="",B192=""),"",$A192*10+IF(B192="Max hangs",1,2))</f>
        <v/>
      </c>
    </row>
    <row r="193">
      <c r="A193" s="11" t="n"/>
      <c r="C193" s="12" t="n"/>
      <c r="H193" s="13" t="n"/>
      <c r="I193" s="14">
        <f>IF(COUNT(D193:F193)=0,"",ROUND(11-AVERAGE(D193:F193),1))</f>
        <v/>
      </c>
      <c r="J193" s="14">
        <f>IF(COUNT(D193:F193)=0,"",IF(11-MAX(D193:F193)&lt;=low_max,"LOW",IF(11-MAX(D193:F193)&lt;=watch_max,"WATCH","GOOD")))</f>
        <v/>
      </c>
      <c r="K193" s="15">
        <f>IF(OR($A193="",B193=""),"",IF(B193="Max hangs",COUNTIFS('Hang sets'!$N$3:$N$202,P193),COUNTIFS('Curl sets'!$P$3:$P$202,P193)))</f>
        <v/>
      </c>
      <c r="L193" s="14">
        <f>IF(OR(B193&lt;&gt;"Max hangs",N(K193)=0),"",_xlfn.MAXIFS('Hang sets'!$G$3:$G$202,'Hang sets'!$N$3:$N$202,P193))</f>
        <v/>
      </c>
      <c r="M193" s="14">
        <f>IF(OR(B193&lt;&gt;"Finger curls",N(K193)=0),"",_xlfn.MAXIFS('Curl sets'!$L$3:$L$202,'Curl sets'!$P$3:$P$202,P193))</f>
        <v/>
      </c>
      <c r="N193" s="14">
        <f>IF(OR(B193&lt;&gt;"Finger curls",N(K193)=0),"",_xlfn.MAXIFS('Curl sets'!$M$3:$M$202,'Curl sets'!$P$3:$P$202,P193))</f>
        <v/>
      </c>
      <c r="O193" s="14">
        <f>IF(COUNT(M193,N193)&lt;2,"",ROUND(100*(M193-N193)/MAX(M193,N193),1))</f>
        <v/>
      </c>
      <c r="P193" s="15">
        <f>IF(OR($A193="",B193=""),"",$A193*10+IF(B193="Max hangs",1,2))</f>
        <v/>
      </c>
    </row>
    <row r="194">
      <c r="A194" s="11" t="n"/>
      <c r="C194" s="12" t="n"/>
      <c r="H194" s="13" t="n"/>
      <c r="I194" s="14">
        <f>IF(COUNT(D194:F194)=0,"",ROUND(11-AVERAGE(D194:F194),1))</f>
        <v/>
      </c>
      <c r="J194" s="14">
        <f>IF(COUNT(D194:F194)=0,"",IF(11-MAX(D194:F194)&lt;=low_max,"LOW",IF(11-MAX(D194:F194)&lt;=watch_max,"WATCH","GOOD")))</f>
        <v/>
      </c>
      <c r="K194" s="15">
        <f>IF(OR($A194="",B194=""),"",IF(B194="Max hangs",COUNTIFS('Hang sets'!$N$3:$N$202,P194),COUNTIFS('Curl sets'!$P$3:$P$202,P194)))</f>
        <v/>
      </c>
      <c r="L194" s="14">
        <f>IF(OR(B194&lt;&gt;"Max hangs",N(K194)=0),"",_xlfn.MAXIFS('Hang sets'!$G$3:$G$202,'Hang sets'!$N$3:$N$202,P194))</f>
        <v/>
      </c>
      <c r="M194" s="14">
        <f>IF(OR(B194&lt;&gt;"Finger curls",N(K194)=0),"",_xlfn.MAXIFS('Curl sets'!$L$3:$L$202,'Curl sets'!$P$3:$P$202,P194))</f>
        <v/>
      </c>
      <c r="N194" s="14">
        <f>IF(OR(B194&lt;&gt;"Finger curls",N(K194)=0),"",_xlfn.MAXIFS('Curl sets'!$M$3:$M$202,'Curl sets'!$P$3:$P$202,P194))</f>
        <v/>
      </c>
      <c r="O194" s="14">
        <f>IF(COUNT(M194,N194)&lt;2,"",ROUND(100*(M194-N194)/MAX(M194,N194),1))</f>
        <v/>
      </c>
      <c r="P194" s="15">
        <f>IF(OR($A194="",B194=""),"",$A194*10+IF(B194="Max hangs",1,2))</f>
        <v/>
      </c>
    </row>
    <row r="195">
      <c r="A195" s="11" t="n"/>
      <c r="C195" s="12" t="n"/>
      <c r="H195" s="13" t="n"/>
      <c r="I195" s="14">
        <f>IF(COUNT(D195:F195)=0,"",ROUND(11-AVERAGE(D195:F195),1))</f>
        <v/>
      </c>
      <c r="J195" s="14">
        <f>IF(COUNT(D195:F195)=0,"",IF(11-MAX(D195:F195)&lt;=low_max,"LOW",IF(11-MAX(D195:F195)&lt;=watch_max,"WATCH","GOOD")))</f>
        <v/>
      </c>
      <c r="K195" s="15">
        <f>IF(OR($A195="",B195=""),"",IF(B195="Max hangs",COUNTIFS('Hang sets'!$N$3:$N$202,P195),COUNTIFS('Curl sets'!$P$3:$P$202,P195)))</f>
        <v/>
      </c>
      <c r="L195" s="14">
        <f>IF(OR(B195&lt;&gt;"Max hangs",N(K195)=0),"",_xlfn.MAXIFS('Hang sets'!$G$3:$G$202,'Hang sets'!$N$3:$N$202,P195))</f>
        <v/>
      </c>
      <c r="M195" s="14">
        <f>IF(OR(B195&lt;&gt;"Finger curls",N(K195)=0),"",_xlfn.MAXIFS('Curl sets'!$L$3:$L$202,'Curl sets'!$P$3:$P$202,P195))</f>
        <v/>
      </c>
      <c r="N195" s="14">
        <f>IF(OR(B195&lt;&gt;"Finger curls",N(K195)=0),"",_xlfn.MAXIFS('Curl sets'!$M$3:$M$202,'Curl sets'!$P$3:$P$202,P195))</f>
        <v/>
      </c>
      <c r="O195" s="14">
        <f>IF(COUNT(M195,N195)&lt;2,"",ROUND(100*(M195-N195)/MAX(M195,N195),1))</f>
        <v/>
      </c>
      <c r="P195" s="15">
        <f>IF(OR($A195="",B195=""),"",$A195*10+IF(B195="Max hangs",1,2))</f>
        <v/>
      </c>
    </row>
    <row r="196">
      <c r="A196" s="11" t="n"/>
      <c r="C196" s="12" t="n"/>
      <c r="H196" s="13" t="n"/>
      <c r="I196" s="14">
        <f>IF(COUNT(D196:F196)=0,"",ROUND(11-AVERAGE(D196:F196),1))</f>
        <v/>
      </c>
      <c r="J196" s="14">
        <f>IF(COUNT(D196:F196)=0,"",IF(11-MAX(D196:F196)&lt;=low_max,"LOW",IF(11-MAX(D196:F196)&lt;=watch_max,"WATCH","GOOD")))</f>
        <v/>
      </c>
      <c r="K196" s="15">
        <f>IF(OR($A196="",B196=""),"",IF(B196="Max hangs",COUNTIFS('Hang sets'!$N$3:$N$202,P196),COUNTIFS('Curl sets'!$P$3:$P$202,P196)))</f>
        <v/>
      </c>
      <c r="L196" s="14">
        <f>IF(OR(B196&lt;&gt;"Max hangs",N(K196)=0),"",_xlfn.MAXIFS('Hang sets'!$G$3:$G$202,'Hang sets'!$N$3:$N$202,P196))</f>
        <v/>
      </c>
      <c r="M196" s="14">
        <f>IF(OR(B196&lt;&gt;"Finger curls",N(K196)=0),"",_xlfn.MAXIFS('Curl sets'!$L$3:$L$202,'Curl sets'!$P$3:$P$202,P196))</f>
        <v/>
      </c>
      <c r="N196" s="14">
        <f>IF(OR(B196&lt;&gt;"Finger curls",N(K196)=0),"",_xlfn.MAXIFS('Curl sets'!$M$3:$M$202,'Curl sets'!$P$3:$P$202,P196))</f>
        <v/>
      </c>
      <c r="O196" s="14">
        <f>IF(COUNT(M196,N196)&lt;2,"",ROUND(100*(M196-N196)/MAX(M196,N196),1))</f>
        <v/>
      </c>
      <c r="P196" s="15">
        <f>IF(OR($A196="",B196=""),"",$A196*10+IF(B196="Max hangs",1,2))</f>
        <v/>
      </c>
    </row>
    <row r="197">
      <c r="A197" s="11" t="n"/>
      <c r="C197" s="12" t="n"/>
      <c r="H197" s="13" t="n"/>
      <c r="I197" s="14">
        <f>IF(COUNT(D197:F197)=0,"",ROUND(11-AVERAGE(D197:F197),1))</f>
        <v/>
      </c>
      <c r="J197" s="14">
        <f>IF(COUNT(D197:F197)=0,"",IF(11-MAX(D197:F197)&lt;=low_max,"LOW",IF(11-MAX(D197:F197)&lt;=watch_max,"WATCH","GOOD")))</f>
        <v/>
      </c>
      <c r="K197" s="15">
        <f>IF(OR($A197="",B197=""),"",IF(B197="Max hangs",COUNTIFS('Hang sets'!$N$3:$N$202,P197),COUNTIFS('Curl sets'!$P$3:$P$202,P197)))</f>
        <v/>
      </c>
      <c r="L197" s="14">
        <f>IF(OR(B197&lt;&gt;"Max hangs",N(K197)=0),"",_xlfn.MAXIFS('Hang sets'!$G$3:$G$202,'Hang sets'!$N$3:$N$202,P197))</f>
        <v/>
      </c>
      <c r="M197" s="14">
        <f>IF(OR(B197&lt;&gt;"Finger curls",N(K197)=0),"",_xlfn.MAXIFS('Curl sets'!$L$3:$L$202,'Curl sets'!$P$3:$P$202,P197))</f>
        <v/>
      </c>
      <c r="N197" s="14">
        <f>IF(OR(B197&lt;&gt;"Finger curls",N(K197)=0),"",_xlfn.MAXIFS('Curl sets'!$M$3:$M$202,'Curl sets'!$P$3:$P$202,P197))</f>
        <v/>
      </c>
      <c r="O197" s="14">
        <f>IF(COUNT(M197,N197)&lt;2,"",ROUND(100*(M197-N197)/MAX(M197,N197),1))</f>
        <v/>
      </c>
      <c r="P197" s="15">
        <f>IF(OR($A197="",B197=""),"",$A197*10+IF(B197="Max hangs",1,2))</f>
        <v/>
      </c>
    </row>
    <row r="198">
      <c r="A198" s="11" t="n"/>
      <c r="C198" s="12" t="n"/>
      <c r="H198" s="13" t="n"/>
      <c r="I198" s="14">
        <f>IF(COUNT(D198:F198)=0,"",ROUND(11-AVERAGE(D198:F198),1))</f>
        <v/>
      </c>
      <c r="J198" s="14">
        <f>IF(COUNT(D198:F198)=0,"",IF(11-MAX(D198:F198)&lt;=low_max,"LOW",IF(11-MAX(D198:F198)&lt;=watch_max,"WATCH","GOOD")))</f>
        <v/>
      </c>
      <c r="K198" s="15">
        <f>IF(OR($A198="",B198=""),"",IF(B198="Max hangs",COUNTIFS('Hang sets'!$N$3:$N$202,P198),COUNTIFS('Curl sets'!$P$3:$P$202,P198)))</f>
        <v/>
      </c>
      <c r="L198" s="14">
        <f>IF(OR(B198&lt;&gt;"Max hangs",N(K198)=0),"",_xlfn.MAXIFS('Hang sets'!$G$3:$G$202,'Hang sets'!$N$3:$N$202,P198))</f>
        <v/>
      </c>
      <c r="M198" s="14">
        <f>IF(OR(B198&lt;&gt;"Finger curls",N(K198)=0),"",_xlfn.MAXIFS('Curl sets'!$L$3:$L$202,'Curl sets'!$P$3:$P$202,P198))</f>
        <v/>
      </c>
      <c r="N198" s="14">
        <f>IF(OR(B198&lt;&gt;"Finger curls",N(K198)=0),"",_xlfn.MAXIFS('Curl sets'!$M$3:$M$202,'Curl sets'!$P$3:$P$202,P198))</f>
        <v/>
      </c>
      <c r="O198" s="14">
        <f>IF(COUNT(M198,N198)&lt;2,"",ROUND(100*(M198-N198)/MAX(M198,N198),1))</f>
        <v/>
      </c>
      <c r="P198" s="15">
        <f>IF(OR($A198="",B198=""),"",$A198*10+IF(B198="Max hangs",1,2))</f>
        <v/>
      </c>
    </row>
    <row r="199">
      <c r="A199" s="11" t="n"/>
      <c r="C199" s="12" t="n"/>
      <c r="H199" s="13" t="n"/>
      <c r="I199" s="14">
        <f>IF(COUNT(D199:F199)=0,"",ROUND(11-AVERAGE(D199:F199),1))</f>
        <v/>
      </c>
      <c r="J199" s="14">
        <f>IF(COUNT(D199:F199)=0,"",IF(11-MAX(D199:F199)&lt;=low_max,"LOW",IF(11-MAX(D199:F199)&lt;=watch_max,"WATCH","GOOD")))</f>
        <v/>
      </c>
      <c r="K199" s="15">
        <f>IF(OR($A199="",B199=""),"",IF(B199="Max hangs",COUNTIFS('Hang sets'!$N$3:$N$202,P199),COUNTIFS('Curl sets'!$P$3:$P$202,P199)))</f>
        <v/>
      </c>
      <c r="L199" s="14">
        <f>IF(OR(B199&lt;&gt;"Max hangs",N(K199)=0),"",_xlfn.MAXIFS('Hang sets'!$G$3:$G$202,'Hang sets'!$N$3:$N$202,P199))</f>
        <v/>
      </c>
      <c r="M199" s="14">
        <f>IF(OR(B199&lt;&gt;"Finger curls",N(K199)=0),"",_xlfn.MAXIFS('Curl sets'!$L$3:$L$202,'Curl sets'!$P$3:$P$202,P199))</f>
        <v/>
      </c>
      <c r="N199" s="14">
        <f>IF(OR(B199&lt;&gt;"Finger curls",N(K199)=0),"",_xlfn.MAXIFS('Curl sets'!$M$3:$M$202,'Curl sets'!$P$3:$P$202,P199))</f>
        <v/>
      </c>
      <c r="O199" s="14">
        <f>IF(COUNT(M199,N199)&lt;2,"",ROUND(100*(M199-N199)/MAX(M199,N199),1))</f>
        <v/>
      </c>
      <c r="P199" s="15">
        <f>IF(OR($A199="",B199=""),"",$A199*10+IF(B199="Max hangs",1,2))</f>
        <v/>
      </c>
    </row>
    <row r="200">
      <c r="A200" s="11" t="n"/>
      <c r="C200" s="12" t="n"/>
      <c r="H200" s="13" t="n"/>
      <c r="I200" s="14">
        <f>IF(COUNT(D200:F200)=0,"",ROUND(11-AVERAGE(D200:F200),1))</f>
        <v/>
      </c>
      <c r="J200" s="14">
        <f>IF(COUNT(D200:F200)=0,"",IF(11-MAX(D200:F200)&lt;=low_max,"LOW",IF(11-MAX(D200:F200)&lt;=watch_max,"WATCH","GOOD")))</f>
        <v/>
      </c>
      <c r="K200" s="15">
        <f>IF(OR($A200="",B200=""),"",IF(B200="Max hangs",COUNTIFS('Hang sets'!$N$3:$N$202,P200),COUNTIFS('Curl sets'!$P$3:$P$202,P200)))</f>
        <v/>
      </c>
      <c r="L200" s="14">
        <f>IF(OR(B200&lt;&gt;"Max hangs",N(K200)=0),"",_xlfn.MAXIFS('Hang sets'!$G$3:$G$202,'Hang sets'!$N$3:$N$202,P200))</f>
        <v/>
      </c>
      <c r="M200" s="14">
        <f>IF(OR(B200&lt;&gt;"Finger curls",N(K200)=0),"",_xlfn.MAXIFS('Curl sets'!$L$3:$L$202,'Curl sets'!$P$3:$P$202,P200))</f>
        <v/>
      </c>
      <c r="N200" s="14">
        <f>IF(OR(B200&lt;&gt;"Finger curls",N(K200)=0),"",_xlfn.MAXIFS('Curl sets'!$M$3:$M$202,'Curl sets'!$P$3:$P$202,P200))</f>
        <v/>
      </c>
      <c r="O200" s="14">
        <f>IF(COUNT(M200,N200)&lt;2,"",ROUND(100*(M200-N200)/MAX(M200,N200),1))</f>
        <v/>
      </c>
      <c r="P200" s="15">
        <f>IF(OR($A200="",B200=""),"",$A200*10+IF(B200="Max hangs",1,2))</f>
        <v/>
      </c>
    </row>
    <row r="201">
      <c r="A201" s="11" t="n"/>
      <c r="C201" s="12" t="n"/>
      <c r="H201" s="13" t="n"/>
      <c r="I201" s="14">
        <f>IF(COUNT(D201:F201)=0,"",ROUND(11-AVERAGE(D201:F201),1))</f>
        <v/>
      </c>
      <c r="J201" s="14">
        <f>IF(COUNT(D201:F201)=0,"",IF(11-MAX(D201:F201)&lt;=low_max,"LOW",IF(11-MAX(D201:F201)&lt;=watch_max,"WATCH","GOOD")))</f>
        <v/>
      </c>
      <c r="K201" s="15">
        <f>IF(OR($A201="",B201=""),"",IF(B201="Max hangs",COUNTIFS('Hang sets'!$N$3:$N$202,P201),COUNTIFS('Curl sets'!$P$3:$P$202,P201)))</f>
        <v/>
      </c>
      <c r="L201" s="14">
        <f>IF(OR(B201&lt;&gt;"Max hangs",N(K201)=0),"",_xlfn.MAXIFS('Hang sets'!$G$3:$G$202,'Hang sets'!$N$3:$N$202,P201))</f>
        <v/>
      </c>
      <c r="M201" s="14">
        <f>IF(OR(B201&lt;&gt;"Finger curls",N(K201)=0),"",_xlfn.MAXIFS('Curl sets'!$L$3:$L$202,'Curl sets'!$P$3:$P$202,P201))</f>
        <v/>
      </c>
      <c r="N201" s="14">
        <f>IF(OR(B201&lt;&gt;"Finger curls",N(K201)=0),"",_xlfn.MAXIFS('Curl sets'!$M$3:$M$202,'Curl sets'!$P$3:$P$202,P201))</f>
        <v/>
      </c>
      <c r="O201" s="14">
        <f>IF(COUNT(M201,N201)&lt;2,"",ROUND(100*(M201-N201)/MAX(M201,N201),1))</f>
        <v/>
      </c>
      <c r="P201" s="15">
        <f>IF(OR($A201="",B201=""),"",$A201*10+IF(B201="Max hangs",1,2))</f>
        <v/>
      </c>
    </row>
    <row r="202">
      <c r="A202" s="11" t="n"/>
      <c r="C202" s="12" t="n"/>
      <c r="H202" s="13" t="n"/>
      <c r="I202" s="14">
        <f>IF(COUNT(D202:F202)=0,"",ROUND(11-AVERAGE(D202:F202),1))</f>
        <v/>
      </c>
      <c r="J202" s="14">
        <f>IF(COUNT(D202:F202)=0,"",IF(11-MAX(D202:F202)&lt;=low_max,"LOW",IF(11-MAX(D202:F202)&lt;=watch_max,"WATCH","GOOD")))</f>
        <v/>
      </c>
      <c r="K202" s="15">
        <f>IF(OR($A202="",B202=""),"",IF(B202="Max hangs",COUNTIFS('Hang sets'!$N$3:$N$202,P202),COUNTIFS('Curl sets'!$P$3:$P$202,P202)))</f>
        <v/>
      </c>
      <c r="L202" s="14">
        <f>IF(OR(B202&lt;&gt;"Max hangs",N(K202)=0),"",_xlfn.MAXIFS('Hang sets'!$G$3:$G$202,'Hang sets'!$N$3:$N$202,P202))</f>
        <v/>
      </c>
      <c r="M202" s="14">
        <f>IF(OR(B202&lt;&gt;"Finger curls",N(K202)=0),"",_xlfn.MAXIFS('Curl sets'!$L$3:$L$202,'Curl sets'!$P$3:$P$202,P202))</f>
        <v/>
      </c>
      <c r="N202" s="14">
        <f>IF(OR(B202&lt;&gt;"Finger curls",N(K202)=0),"",_xlfn.MAXIFS('Curl sets'!$M$3:$M$202,'Curl sets'!$P$3:$P$202,P202))</f>
        <v/>
      </c>
      <c r="O202" s="14">
        <f>IF(COUNT(M202,N202)&lt;2,"",ROUND(100*(M202-N202)/MAX(M202,N202),1))</f>
        <v/>
      </c>
      <c r="P202" s="15">
        <f>IF(OR($A202="",B202=""),"",$A202*10+IF(B202="Max hangs",1,2))</f>
        <v/>
      </c>
    </row>
  </sheetData>
  <conditionalFormatting sqref="D3:D202">
    <cfRule type="colorScale" priority="1">
      <colorScale>
        <cfvo type="num" val="1"/>
        <cfvo type="num" val="5.5"/>
        <cfvo type="num" val="10"/>
        <color rgb="0063BE7B"/>
        <color rgb="00FFEB84"/>
        <color rgb="00F8696B"/>
      </colorScale>
    </cfRule>
  </conditionalFormatting>
  <conditionalFormatting sqref="E3:E202">
    <cfRule type="colorScale" priority="2">
      <colorScale>
        <cfvo type="num" val="1"/>
        <cfvo type="num" val="5.5"/>
        <cfvo type="num" val="10"/>
        <color rgb="0063BE7B"/>
        <color rgb="00FFEB84"/>
        <color rgb="00F8696B"/>
      </colorScale>
    </cfRule>
  </conditionalFormatting>
  <conditionalFormatting sqref="F3:F202">
    <cfRule type="colorScale" priority="3">
      <colorScale>
        <cfvo type="num" val="1"/>
        <cfvo type="num" val="5.5"/>
        <cfvo type="num" val="10"/>
        <color rgb="0063BE7B"/>
        <color rgb="00FFEB84"/>
        <color rgb="00F8696B"/>
      </colorScale>
    </cfRule>
  </conditionalFormatting>
  <conditionalFormatting sqref="I3:I202">
    <cfRule type="cellIs" priority="4" operator="equal" dxfId="0">
      <formula>"LOW"</formula>
    </cfRule>
    <cfRule type="cellIs" priority="5" operator="equal" dxfId="1">
      <formula>"WATCH"</formula>
    </cfRule>
    <cfRule type="cellIs" priority="6" operator="equal" dxfId="2">
      <formula>"GOOD"</formula>
    </cfRule>
  </conditionalFormatting>
  <conditionalFormatting sqref="J3:J202">
    <cfRule type="cellIs" priority="7" operator="equal" dxfId="0">
      <formula>"LOW"</formula>
    </cfRule>
    <cfRule type="cellIs" priority="8" operator="equal" dxfId="1">
      <formula>"WATCH"</formula>
    </cfRule>
    <cfRule type="cellIs" priority="9" operator="equal" dxfId="2">
      <formula>"GOOD"</formula>
    </cfRule>
  </conditionalFormatting>
  <conditionalFormatting sqref="K3:K202">
    <cfRule type="cellIs" priority="10" operator="equal" dxfId="0">
      <formula>"LOW"</formula>
    </cfRule>
    <cfRule type="cellIs" priority="11" operator="equal" dxfId="1">
      <formula>"WATCH"</formula>
    </cfRule>
    <cfRule type="cellIs" priority="12" operator="equal" dxfId="2">
      <formula>"GOOD"</formula>
    </cfRule>
  </conditionalFormatting>
  <conditionalFormatting sqref="L3:L202">
    <cfRule type="cellIs" priority="13" operator="equal" dxfId="0">
      <formula>"LOW"</formula>
    </cfRule>
    <cfRule type="cellIs" priority="14" operator="equal" dxfId="1">
      <formula>"WATCH"</formula>
    </cfRule>
    <cfRule type="cellIs" priority="15" operator="equal" dxfId="2">
      <formula>"GOOD"</formula>
    </cfRule>
  </conditionalFormatting>
  <conditionalFormatting sqref="M3:M202">
    <cfRule type="cellIs" priority="16" operator="equal" dxfId="0">
      <formula>"LOW"</formula>
    </cfRule>
    <cfRule type="cellIs" priority="17" operator="equal" dxfId="1">
      <formula>"WATCH"</formula>
    </cfRule>
    <cfRule type="cellIs" priority="18" operator="equal" dxfId="2">
      <formula>"GOOD"</formula>
    </cfRule>
  </conditionalFormatting>
  <conditionalFormatting sqref="N3:N202">
    <cfRule type="cellIs" priority="19" operator="equal" dxfId="0">
      <formula>"LOW"</formula>
    </cfRule>
    <cfRule type="cellIs" priority="20" operator="equal" dxfId="1">
      <formula>"WATCH"</formula>
    </cfRule>
    <cfRule type="cellIs" priority="21" operator="equal" dxfId="2">
      <formula>"GOOD"</formula>
    </cfRule>
  </conditionalFormatting>
  <conditionalFormatting sqref="O3:O202">
    <cfRule type="cellIs" priority="22" operator="equal" dxfId="0">
      <formula>"LOW"</formula>
    </cfRule>
    <cfRule type="cellIs" priority="23" operator="equal" dxfId="1">
      <formula>"WATCH"</formula>
    </cfRule>
    <cfRule type="cellIs" priority="24" operator="equal" dxfId="2">
      <formula>"GOOD"</formula>
    </cfRule>
  </conditionalFormatting>
  <conditionalFormatting sqref="P3:P202">
    <cfRule type="cellIs" priority="25" operator="equal" dxfId="0">
      <formula>"LOW"</formula>
    </cfRule>
    <cfRule type="cellIs" priority="26" operator="equal" dxfId="1">
      <formula>"WATCH"</formula>
    </cfRule>
    <cfRule type="cellIs" priority="27" operator="equal" dxfId="2">
      <formula>"GOOD"</formula>
    </cfRule>
  </conditionalFormatting>
  <dataValidations count="7">
    <dataValidation sqref="A3:A202" showDropDown="0" showInputMessage="0" showErrorMessage="1" allowBlank="0" errorTitle="climblog" error="Value outside the allowed range/choices" type="date" operator="greaterThan">
      <formula1>DATE(2020,1,1)</formula1>
    </dataValidation>
    <dataValidation sqref="B3:B202" showDropDown="0" showInputMessage="0" showErrorMessage="1" allowBlank="0" errorTitle="climblog" error="Value outside the allowed range/choices" type="list">
      <formula1>"Max hangs,Finger curls"</formula1>
    </dataValidation>
    <dataValidation sqref="C3:C202" showDropDown="0" showInputMessage="0" showErrorMessage="1" allowBlank="0" errorTitle="climblog" error="Value outside the allowed range/choices" type="time" operator="between">
      <formula1>0</formula1>
      <formula2>0.999988</formula2>
    </dataValidation>
    <dataValidation sqref="D3:D202" showDropDown="0" showInputMessage="0" showErrorMessage="1" allowBlank="0" errorTitle="climblog" error="Value outside the allowed range/choices" type="list">
      <formula1>"1,2,3,4,5,6,7,8,9,10"</formula1>
    </dataValidation>
    <dataValidation sqref="E3:E202" showDropDown="0" showInputMessage="0" showErrorMessage="1" allowBlank="0" errorTitle="climblog" error="Value outside the allowed range/choices" type="list">
      <formula1>"1,2,3,4,5,6,7,8,9,10"</formula1>
    </dataValidation>
    <dataValidation sqref="F3:F202" showDropDown="0" showInputMessage="0" showErrorMessage="1" allowBlank="0" errorTitle="climblog" error="Value outside the allowed range/choices" type="list">
      <formula1>"1,2,3,4,5,6,7,8,9,10"</formula1>
    </dataValidation>
    <dataValidation sqref="G3:G202" showDropDown="0" showInputMessage="0" showErrorMessage="1" allowBlank="0" errorTitle="climblog" error="Value outside the allowed range/choices" type="list">
      <formula1>"1,2,3,4,5,6,7,8,9,10"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7" customWidth="1" min="3" max="3"/>
    <col width="14" customWidth="1" min="4" max="4"/>
    <col width="10" customWidth="1" min="5" max="5"/>
    <col width="7" customWidth="1" min="6" max="6"/>
    <col width="9" customWidth="1" min="7" max="7"/>
    <col width="7" customWidth="1" min="8" max="8"/>
    <col width="7" customWidth="1" min="9" max="9"/>
    <col width="10" customWidth="1" min="10" max="10"/>
    <col width="32" customWidth="1" min="11" max="11"/>
    <col width="7" customWidth="1" min="12" max="12"/>
    <col width="17" customWidth="1" min="13" max="13"/>
    <col hidden="1" width="10" customWidth="1" min="14" max="14"/>
    <col width="12" customWidth="1" min="15" max="15"/>
    <col width="8" customWidth="1" min="16" max="16"/>
  </cols>
  <sheetData>
    <row r="1" ht="48" customHeight="1">
      <c r="A1" s="1" t="inlineStr">
        <is>
          <t>Date</t>
        </is>
      </c>
      <c r="B1" s="1" t="inlineStr">
        <is>
          <t>Set #
(blank = next)</t>
        </is>
      </c>
      <c r="C1" s="1" t="inlineStr">
        <is>
          <t>Edge
(mm)</t>
        </is>
      </c>
      <c r="D1" s="1" t="inlineStr">
        <is>
          <t>Grip</t>
        </is>
      </c>
      <c r="E1" s="1" t="inlineStr">
        <is>
          <t>Arms</t>
        </is>
      </c>
      <c r="F1" s="1" t="inlineStr">
        <is>
          <t>Hang
(s)</t>
        </is>
      </c>
      <c r="G1" s="1" t="inlineStr">
        <is>
          <t>Added kg
(− = assist)</t>
        </is>
      </c>
      <c r="H1" s="16" t="inlineStr">
        <is>
          <t>Rest
(s)</t>
        </is>
      </c>
      <c r="I1" s="16" t="inlineStr">
        <is>
          <t>RPE
(1–10)</t>
        </is>
      </c>
      <c r="J1" s="16" t="inlineStr">
        <is>
          <t>Completed?</t>
        </is>
      </c>
      <c r="K1" s="16" t="inlineStr">
        <is>
          <t>Note</t>
        </is>
      </c>
      <c r="L1" s="4" t="inlineStr">
        <is>
          <t>Set #
(auto)</t>
        </is>
      </c>
      <c r="M1" s="4" t="inlineStr">
        <is>
          <t>Session check</t>
        </is>
      </c>
      <c r="N1" s="4" t="inlineStr">
        <is>
          <t>key (auto, hidden)</t>
        </is>
      </c>
      <c r="O1" s="5" t="inlineStr">
        <is>
          <t>updated_at
(app fills)</t>
        </is>
      </c>
      <c r="P1" s="5" t="inlineStr">
        <is>
          <t>deleted
(app fills)</t>
        </is>
      </c>
    </row>
    <row r="2" ht="18" customHeight="1">
      <c r="A2" s="6" t="inlineStr">
        <is>
          <t>date</t>
        </is>
      </c>
      <c r="B2" s="6" t="inlineStr">
        <is>
          <t>set_no</t>
        </is>
      </c>
      <c r="C2" s="6" t="inlineStr">
        <is>
          <t>edge_mm</t>
        </is>
      </c>
      <c r="D2" s="6" t="inlineStr">
        <is>
          <t>grip</t>
        </is>
      </c>
      <c r="E2" s="6" t="inlineStr">
        <is>
          <t>arms</t>
        </is>
      </c>
      <c r="F2" s="6" t="inlineStr">
        <is>
          <t>hang_s</t>
        </is>
      </c>
      <c r="G2" s="6" t="inlineStr">
        <is>
          <t>added_kg</t>
        </is>
      </c>
      <c r="H2" s="17" t="inlineStr">
        <is>
          <t>rest_s</t>
        </is>
      </c>
      <c r="I2" s="17" t="inlineStr">
        <is>
          <t>rpe</t>
        </is>
      </c>
      <c r="J2" s="17" t="inlineStr">
        <is>
          <t>completed</t>
        </is>
      </c>
      <c r="K2" s="17" t="inlineStr">
        <is>
          <t>note</t>
        </is>
      </c>
      <c r="L2" s="9" t="inlineStr">
        <is>
          <t>auto:set_no</t>
        </is>
      </c>
      <c r="M2" s="9" t="inlineStr">
        <is>
          <t>auto:session_check</t>
        </is>
      </c>
      <c r="N2" s="9" t="inlineStr">
        <is>
          <t>auto:_key</t>
        </is>
      </c>
      <c r="O2" s="10" t="inlineStr">
        <is>
          <t>updated_at</t>
        </is>
      </c>
      <c r="P2" s="10" t="inlineStr">
        <is>
          <t>deleted</t>
        </is>
      </c>
    </row>
    <row r="3">
      <c r="A3" s="11" t="n">
        <v>46309</v>
      </c>
      <c r="B3" t="n">
        <v>1</v>
      </c>
      <c r="C3" t="n">
        <v>20</v>
      </c>
      <c r="D3" t="inlineStr">
        <is>
          <t>Half crimp</t>
        </is>
      </c>
      <c r="E3" t="inlineStr">
        <is>
          <t>Two arms</t>
        </is>
      </c>
      <c r="F3" t="n">
        <v>10</v>
      </c>
      <c r="G3" t="n">
        <v>10</v>
      </c>
      <c r="H3" t="n">
        <v>180</v>
      </c>
      <c r="I3" t="n">
        <v>7</v>
      </c>
      <c r="J3" t="inlineStr">
        <is>
          <t>Yes</t>
        </is>
      </c>
      <c r="K3" s="13" t="n"/>
      <c r="L3" s="15">
        <f>IF($A3="","",IF(B3&lt;&gt;"",B3,COUNTIFS($N$3:N3,N3)))</f>
        <v/>
      </c>
      <c r="M3" s="14">
        <f>IF($A3="","",IF(COUNTIFS('Sessions'!$P$3:$P$202,N3)=0,"⚠ no Max hangs session row","ok"))</f>
        <v/>
      </c>
      <c r="N3" s="15">
        <f>IF($A3="","",$A3*10+1)</f>
        <v/>
      </c>
    </row>
    <row r="4">
      <c r="A4" s="11" t="n">
        <v>46309</v>
      </c>
      <c r="B4" t="n">
        <v>2</v>
      </c>
      <c r="C4" t="n">
        <v>20</v>
      </c>
      <c r="D4" t="inlineStr">
        <is>
          <t>Half crimp</t>
        </is>
      </c>
      <c r="E4" t="inlineStr">
        <is>
          <t>Two arms</t>
        </is>
      </c>
      <c r="F4" t="n">
        <v>10</v>
      </c>
      <c r="G4" t="n">
        <v>12.5</v>
      </c>
      <c r="H4" t="n">
        <v>180</v>
      </c>
      <c r="I4" t="n">
        <v>8</v>
      </c>
      <c r="J4" t="inlineStr">
        <is>
          <t>Yes</t>
        </is>
      </c>
      <c r="K4" s="13" t="n"/>
      <c r="L4" s="15">
        <f>IF($A4="","",IF(B4&lt;&gt;"",B4,COUNTIFS($N$3:N4,N4)))</f>
        <v/>
      </c>
      <c r="M4" s="14">
        <f>IF($A4="","",IF(COUNTIFS('Sessions'!$P$3:$P$202,N4)=0,"⚠ no Max hangs session row","ok"))</f>
        <v/>
      </c>
      <c r="N4" s="15">
        <f>IF($A4="","",$A4*10+1)</f>
        <v/>
      </c>
    </row>
    <row r="5">
      <c r="A5" s="11" t="n">
        <v>46309</v>
      </c>
      <c r="B5" t="n">
        <v>3</v>
      </c>
      <c r="C5" t="n">
        <v>20</v>
      </c>
      <c r="D5" t="inlineStr">
        <is>
          <t>Half crimp</t>
        </is>
      </c>
      <c r="E5" t="inlineStr">
        <is>
          <t>Two arms</t>
        </is>
      </c>
      <c r="F5" t="n">
        <v>10</v>
      </c>
      <c r="G5" t="n">
        <v>12.5</v>
      </c>
      <c r="H5" t="n">
        <v>180</v>
      </c>
      <c r="I5" t="n">
        <v>9</v>
      </c>
      <c r="J5" t="inlineStr">
        <is>
          <t>Yes</t>
        </is>
      </c>
      <c r="K5" s="13" t="inlineStr">
        <is>
          <t>[ESEMPIO] presa scivolata a metà</t>
        </is>
      </c>
      <c r="L5" s="15">
        <f>IF($A5="","",IF(B5&lt;&gt;"",B5,COUNTIFS($N$3:N5,N5)))</f>
        <v/>
      </c>
      <c r="M5" s="14">
        <f>IF($A5="","",IF(COUNTIFS('Sessions'!$P$3:$P$202,N5)=0,"⚠ no Max hangs session row","ok"))</f>
        <v/>
      </c>
      <c r="N5" s="15">
        <f>IF($A5="","",$A5*10+1)</f>
        <v/>
      </c>
    </row>
    <row r="6">
      <c r="A6" s="11" t="n">
        <v>46309</v>
      </c>
      <c r="C6" t="n">
        <v>20</v>
      </c>
      <c r="D6" t="inlineStr">
        <is>
          <t>Half crimp</t>
        </is>
      </c>
      <c r="E6" t="inlineStr">
        <is>
          <t>Two arms</t>
        </is>
      </c>
      <c r="F6" t="n">
        <v>10</v>
      </c>
      <c r="G6" t="n">
        <v>12.5</v>
      </c>
      <c r="H6" t="n">
        <v>180</v>
      </c>
      <c r="I6" t="n">
        <v>9</v>
      </c>
      <c r="J6" t="inlineStr">
        <is>
          <t>No</t>
        </is>
      </c>
      <c r="K6" s="13" t="inlineStr">
        <is>
          <t>[ESEMPIO] set # lasciato vuoto → auto 4</t>
        </is>
      </c>
      <c r="L6" s="15">
        <f>IF($A6="","",IF(B6&lt;&gt;"",B6,COUNTIFS($N$3:N6,N6)))</f>
        <v/>
      </c>
      <c r="M6" s="14">
        <f>IF($A6="","",IF(COUNTIFS('Sessions'!$P$3:$P$202,N6)=0,"⚠ no Max hangs session row","ok"))</f>
        <v/>
      </c>
      <c r="N6" s="15">
        <f>IF($A6="","",$A6*10+1)</f>
        <v/>
      </c>
    </row>
    <row r="7">
      <c r="A7" s="11" t="n">
        <v>46314</v>
      </c>
      <c r="B7" t="n">
        <v>1</v>
      </c>
      <c r="C7" t="n">
        <v>20</v>
      </c>
      <c r="D7" t="inlineStr">
        <is>
          <t>Half crimp</t>
        </is>
      </c>
      <c r="E7" t="inlineStr">
        <is>
          <t>Two arms</t>
        </is>
      </c>
      <c r="F7" t="n">
        <v>10</v>
      </c>
      <c r="G7" t="n">
        <v>12.5</v>
      </c>
      <c r="H7" t="n">
        <v>180</v>
      </c>
      <c r="I7" t="n">
        <v>8</v>
      </c>
      <c r="J7" t="inlineStr">
        <is>
          <t>Yes</t>
        </is>
      </c>
      <c r="K7" s="13" t="n"/>
      <c r="L7" s="15">
        <f>IF($A7="","",IF(B7&lt;&gt;"",B7,COUNTIFS($N$3:N7,N7)))</f>
        <v/>
      </c>
      <c r="M7" s="14">
        <f>IF($A7="","",IF(COUNTIFS('Sessions'!$P$3:$P$202,N7)=0,"⚠ no Max hangs session row","ok"))</f>
        <v/>
      </c>
      <c r="N7" s="15">
        <f>IF($A7="","",$A7*10+1)</f>
        <v/>
      </c>
    </row>
    <row r="8">
      <c r="A8" s="11" t="n">
        <v>46314</v>
      </c>
      <c r="B8" t="n">
        <v>2</v>
      </c>
      <c r="C8" t="n">
        <v>20</v>
      </c>
      <c r="D8" t="inlineStr">
        <is>
          <t>Half crimp</t>
        </is>
      </c>
      <c r="E8" t="inlineStr">
        <is>
          <t>Two arms</t>
        </is>
      </c>
      <c r="F8" t="n">
        <v>10</v>
      </c>
      <c r="G8" t="n">
        <v>15</v>
      </c>
      <c r="H8" t="n">
        <v>180</v>
      </c>
      <c r="I8" t="n">
        <v>9</v>
      </c>
      <c r="J8" t="inlineStr">
        <is>
          <t>Yes</t>
        </is>
      </c>
      <c r="K8" s="13" t="n"/>
      <c r="L8" s="15">
        <f>IF($A8="","",IF(B8&lt;&gt;"",B8,COUNTIFS($N$3:N8,N8)))</f>
        <v/>
      </c>
      <c r="M8" s="14">
        <f>IF($A8="","",IF(COUNTIFS('Sessions'!$P$3:$P$202,N8)=0,"⚠ no Max hangs session row","ok"))</f>
        <v/>
      </c>
      <c r="N8" s="15">
        <f>IF($A8="","",$A8*10+1)</f>
        <v/>
      </c>
    </row>
    <row r="9">
      <c r="A9" s="11" t="n">
        <v>46311</v>
      </c>
      <c r="B9" t="n">
        <v>1</v>
      </c>
      <c r="C9" t="n">
        <v>20</v>
      </c>
      <c r="D9" t="inlineStr">
        <is>
          <t>Half crimp</t>
        </is>
      </c>
      <c r="E9" t="inlineStr">
        <is>
          <t>Two arms</t>
        </is>
      </c>
      <c r="F9" t="n">
        <v>10</v>
      </c>
      <c r="G9" t="n">
        <v>10</v>
      </c>
      <c r="H9" t="n">
        <v>180</v>
      </c>
      <c r="I9" t="n">
        <v>7</v>
      </c>
      <c r="J9" t="inlineStr">
        <is>
          <t>Yes</t>
        </is>
      </c>
      <c r="K9" s="13" t="inlineStr">
        <is>
          <t>[ESEMPIO] 16/10 è solo curl → manca la riga Max hangs</t>
        </is>
      </c>
      <c r="L9" s="15">
        <f>IF($A9="","",IF(B9&lt;&gt;"",B9,COUNTIFS($N$3:N9,N9)))</f>
        <v/>
      </c>
      <c r="M9" s="14">
        <f>IF($A9="","",IF(COUNTIFS('Sessions'!$P$3:$P$202,N9)=0,"⚠ no Max hangs session row","ok"))</f>
        <v/>
      </c>
      <c r="N9" s="15">
        <f>IF($A9="","",$A9*10+1)</f>
        <v/>
      </c>
    </row>
    <row r="10">
      <c r="A10" s="11" t="n"/>
      <c r="K10" s="13" t="n"/>
      <c r="L10" s="15">
        <f>IF($A10="","",IF(B10&lt;&gt;"",B10,COUNTIFS($N$3:N10,N10)))</f>
        <v/>
      </c>
      <c r="M10" s="14">
        <f>IF($A10="","",IF(COUNTIFS('Sessions'!$P$3:$P$202,N10)=0,"⚠ no Max hangs session row","ok"))</f>
        <v/>
      </c>
      <c r="N10" s="15">
        <f>IF($A10="","",$A10*10+1)</f>
        <v/>
      </c>
    </row>
    <row r="11">
      <c r="A11" s="11" t="n"/>
      <c r="K11" s="13" t="n"/>
      <c r="L11" s="15">
        <f>IF($A11="","",IF(B11&lt;&gt;"",B11,COUNTIFS($N$3:N11,N11)))</f>
        <v/>
      </c>
      <c r="M11" s="14">
        <f>IF($A11="","",IF(COUNTIFS('Sessions'!$P$3:$P$202,N11)=0,"⚠ no Max hangs session row","ok"))</f>
        <v/>
      </c>
      <c r="N11" s="15">
        <f>IF($A11="","",$A11*10+1)</f>
        <v/>
      </c>
    </row>
    <row r="12">
      <c r="A12" s="11" t="n"/>
      <c r="K12" s="13" t="n"/>
      <c r="L12" s="15">
        <f>IF($A12="","",IF(B12&lt;&gt;"",B12,COUNTIFS($N$3:N12,N12)))</f>
        <v/>
      </c>
      <c r="M12" s="14">
        <f>IF($A12="","",IF(COUNTIFS('Sessions'!$P$3:$P$202,N12)=0,"⚠ no Max hangs session row","ok"))</f>
        <v/>
      </c>
      <c r="N12" s="15">
        <f>IF($A12="","",$A12*10+1)</f>
        <v/>
      </c>
    </row>
    <row r="13">
      <c r="A13" s="11" t="n"/>
      <c r="K13" s="13" t="n"/>
      <c r="L13" s="15">
        <f>IF($A13="","",IF(B13&lt;&gt;"",B13,COUNTIFS($N$3:N13,N13)))</f>
        <v/>
      </c>
      <c r="M13" s="14">
        <f>IF($A13="","",IF(COUNTIFS('Sessions'!$P$3:$P$202,N13)=0,"⚠ no Max hangs session row","ok"))</f>
        <v/>
      </c>
      <c r="N13" s="15">
        <f>IF($A13="","",$A13*10+1)</f>
        <v/>
      </c>
    </row>
    <row r="14">
      <c r="A14" s="11" t="n"/>
      <c r="K14" s="13" t="n"/>
      <c r="L14" s="15">
        <f>IF($A14="","",IF(B14&lt;&gt;"",B14,COUNTIFS($N$3:N14,N14)))</f>
        <v/>
      </c>
      <c r="M14" s="14">
        <f>IF($A14="","",IF(COUNTIFS('Sessions'!$P$3:$P$202,N14)=0,"⚠ no Max hangs session row","ok"))</f>
        <v/>
      </c>
      <c r="N14" s="15">
        <f>IF($A14="","",$A14*10+1)</f>
        <v/>
      </c>
    </row>
    <row r="15">
      <c r="A15" s="11" t="n"/>
      <c r="K15" s="13" t="n"/>
      <c r="L15" s="15">
        <f>IF($A15="","",IF(B15&lt;&gt;"",B15,COUNTIFS($N$3:N15,N15)))</f>
        <v/>
      </c>
      <c r="M15" s="14">
        <f>IF($A15="","",IF(COUNTIFS('Sessions'!$P$3:$P$202,N15)=0,"⚠ no Max hangs session row","ok"))</f>
        <v/>
      </c>
      <c r="N15" s="15">
        <f>IF($A15="","",$A15*10+1)</f>
        <v/>
      </c>
    </row>
    <row r="16">
      <c r="A16" s="11" t="n"/>
      <c r="K16" s="13" t="n"/>
      <c r="L16" s="15">
        <f>IF($A16="","",IF(B16&lt;&gt;"",B16,COUNTIFS($N$3:N16,N16)))</f>
        <v/>
      </c>
      <c r="M16" s="14">
        <f>IF($A16="","",IF(COUNTIFS('Sessions'!$P$3:$P$202,N16)=0,"⚠ no Max hangs session row","ok"))</f>
        <v/>
      </c>
      <c r="N16" s="15">
        <f>IF($A16="","",$A16*10+1)</f>
        <v/>
      </c>
    </row>
    <row r="17">
      <c r="A17" s="11" t="n"/>
      <c r="K17" s="13" t="n"/>
      <c r="L17" s="15">
        <f>IF($A17="","",IF(B17&lt;&gt;"",B17,COUNTIFS($N$3:N17,N17)))</f>
        <v/>
      </c>
      <c r="M17" s="14">
        <f>IF($A17="","",IF(COUNTIFS('Sessions'!$P$3:$P$202,N17)=0,"⚠ no Max hangs session row","ok"))</f>
        <v/>
      </c>
      <c r="N17" s="15">
        <f>IF($A17="","",$A17*10+1)</f>
        <v/>
      </c>
    </row>
    <row r="18">
      <c r="A18" s="11" t="n"/>
      <c r="K18" s="13" t="n"/>
      <c r="L18" s="15">
        <f>IF($A18="","",IF(B18&lt;&gt;"",B18,COUNTIFS($N$3:N18,N18)))</f>
        <v/>
      </c>
      <c r="M18" s="14">
        <f>IF($A18="","",IF(COUNTIFS('Sessions'!$P$3:$P$202,N18)=0,"⚠ no Max hangs session row","ok"))</f>
        <v/>
      </c>
      <c r="N18" s="15">
        <f>IF($A18="","",$A18*10+1)</f>
        <v/>
      </c>
    </row>
    <row r="19">
      <c r="A19" s="11" t="n"/>
      <c r="K19" s="13" t="n"/>
      <c r="L19" s="15">
        <f>IF($A19="","",IF(B19&lt;&gt;"",B19,COUNTIFS($N$3:N19,N19)))</f>
        <v/>
      </c>
      <c r="M19" s="14">
        <f>IF($A19="","",IF(COUNTIFS('Sessions'!$P$3:$P$202,N19)=0,"⚠ no Max hangs session row","ok"))</f>
        <v/>
      </c>
      <c r="N19" s="15">
        <f>IF($A19="","",$A19*10+1)</f>
        <v/>
      </c>
    </row>
    <row r="20">
      <c r="A20" s="11" t="n"/>
      <c r="K20" s="13" t="n"/>
      <c r="L20" s="15">
        <f>IF($A20="","",IF(B20&lt;&gt;"",B20,COUNTIFS($N$3:N20,N20)))</f>
        <v/>
      </c>
      <c r="M20" s="14">
        <f>IF($A20="","",IF(COUNTIFS('Sessions'!$P$3:$P$202,N20)=0,"⚠ no Max hangs session row","ok"))</f>
        <v/>
      </c>
      <c r="N20" s="15">
        <f>IF($A20="","",$A20*10+1)</f>
        <v/>
      </c>
    </row>
    <row r="21">
      <c r="A21" s="11" t="n"/>
      <c r="K21" s="13" t="n"/>
      <c r="L21" s="15">
        <f>IF($A21="","",IF(B21&lt;&gt;"",B21,COUNTIFS($N$3:N21,N21)))</f>
        <v/>
      </c>
      <c r="M21" s="14">
        <f>IF($A21="","",IF(COUNTIFS('Sessions'!$P$3:$P$202,N21)=0,"⚠ no Max hangs session row","ok"))</f>
        <v/>
      </c>
      <c r="N21" s="15">
        <f>IF($A21="","",$A21*10+1)</f>
        <v/>
      </c>
    </row>
    <row r="22">
      <c r="A22" s="11" t="n"/>
      <c r="K22" s="13" t="n"/>
      <c r="L22" s="15">
        <f>IF($A22="","",IF(B22&lt;&gt;"",B22,COUNTIFS($N$3:N22,N22)))</f>
        <v/>
      </c>
      <c r="M22" s="14">
        <f>IF($A22="","",IF(COUNTIFS('Sessions'!$P$3:$P$202,N22)=0,"⚠ no Max hangs session row","ok"))</f>
        <v/>
      </c>
      <c r="N22" s="15">
        <f>IF($A22="","",$A22*10+1)</f>
        <v/>
      </c>
    </row>
    <row r="23">
      <c r="A23" s="11" t="n"/>
      <c r="K23" s="13" t="n"/>
      <c r="L23" s="15">
        <f>IF($A23="","",IF(B23&lt;&gt;"",B23,COUNTIFS($N$3:N23,N23)))</f>
        <v/>
      </c>
      <c r="M23" s="14">
        <f>IF($A23="","",IF(COUNTIFS('Sessions'!$P$3:$P$202,N23)=0,"⚠ no Max hangs session row","ok"))</f>
        <v/>
      </c>
      <c r="N23" s="15">
        <f>IF($A23="","",$A23*10+1)</f>
        <v/>
      </c>
    </row>
    <row r="24">
      <c r="A24" s="11" t="n"/>
      <c r="K24" s="13" t="n"/>
      <c r="L24" s="15">
        <f>IF($A24="","",IF(B24&lt;&gt;"",B24,COUNTIFS($N$3:N24,N24)))</f>
        <v/>
      </c>
      <c r="M24" s="14">
        <f>IF($A24="","",IF(COUNTIFS('Sessions'!$P$3:$P$202,N24)=0,"⚠ no Max hangs session row","ok"))</f>
        <v/>
      </c>
      <c r="N24" s="15">
        <f>IF($A24="","",$A24*10+1)</f>
        <v/>
      </c>
    </row>
    <row r="25">
      <c r="A25" s="11" t="n"/>
      <c r="K25" s="13" t="n"/>
      <c r="L25" s="15">
        <f>IF($A25="","",IF(B25&lt;&gt;"",B25,COUNTIFS($N$3:N25,N25)))</f>
        <v/>
      </c>
      <c r="M25" s="14">
        <f>IF($A25="","",IF(COUNTIFS('Sessions'!$P$3:$P$202,N25)=0,"⚠ no Max hangs session row","ok"))</f>
        <v/>
      </c>
      <c r="N25" s="15">
        <f>IF($A25="","",$A25*10+1)</f>
        <v/>
      </c>
    </row>
    <row r="26">
      <c r="A26" s="11" t="n"/>
      <c r="K26" s="13" t="n"/>
      <c r="L26" s="15">
        <f>IF($A26="","",IF(B26&lt;&gt;"",B26,COUNTIFS($N$3:N26,N26)))</f>
        <v/>
      </c>
      <c r="M26" s="14">
        <f>IF($A26="","",IF(COUNTIFS('Sessions'!$P$3:$P$202,N26)=0,"⚠ no Max hangs session row","ok"))</f>
        <v/>
      </c>
      <c r="N26" s="15">
        <f>IF($A26="","",$A26*10+1)</f>
        <v/>
      </c>
    </row>
    <row r="27">
      <c r="A27" s="11" t="n"/>
      <c r="K27" s="13" t="n"/>
      <c r="L27" s="15">
        <f>IF($A27="","",IF(B27&lt;&gt;"",B27,COUNTIFS($N$3:N27,N27)))</f>
        <v/>
      </c>
      <c r="M27" s="14">
        <f>IF($A27="","",IF(COUNTIFS('Sessions'!$P$3:$P$202,N27)=0,"⚠ no Max hangs session row","ok"))</f>
        <v/>
      </c>
      <c r="N27" s="15">
        <f>IF($A27="","",$A27*10+1)</f>
        <v/>
      </c>
    </row>
    <row r="28">
      <c r="A28" s="11" t="n"/>
      <c r="K28" s="13" t="n"/>
      <c r="L28" s="15">
        <f>IF($A28="","",IF(B28&lt;&gt;"",B28,COUNTIFS($N$3:N28,N28)))</f>
        <v/>
      </c>
      <c r="M28" s="14">
        <f>IF($A28="","",IF(COUNTIFS('Sessions'!$P$3:$P$202,N28)=0,"⚠ no Max hangs session row","ok"))</f>
        <v/>
      </c>
      <c r="N28" s="15">
        <f>IF($A28="","",$A28*10+1)</f>
        <v/>
      </c>
    </row>
    <row r="29">
      <c r="A29" s="11" t="n"/>
      <c r="K29" s="13" t="n"/>
      <c r="L29" s="15">
        <f>IF($A29="","",IF(B29&lt;&gt;"",B29,COUNTIFS($N$3:N29,N29)))</f>
        <v/>
      </c>
      <c r="M29" s="14">
        <f>IF($A29="","",IF(COUNTIFS('Sessions'!$P$3:$P$202,N29)=0,"⚠ no Max hangs session row","ok"))</f>
        <v/>
      </c>
      <c r="N29" s="15">
        <f>IF($A29="","",$A29*10+1)</f>
        <v/>
      </c>
    </row>
    <row r="30">
      <c r="A30" s="11" t="n"/>
      <c r="K30" s="13" t="n"/>
      <c r="L30" s="15">
        <f>IF($A30="","",IF(B30&lt;&gt;"",B30,COUNTIFS($N$3:N30,N30)))</f>
        <v/>
      </c>
      <c r="M30" s="14">
        <f>IF($A30="","",IF(COUNTIFS('Sessions'!$P$3:$P$202,N30)=0,"⚠ no Max hangs session row","ok"))</f>
        <v/>
      </c>
      <c r="N30" s="15">
        <f>IF($A30="","",$A30*10+1)</f>
        <v/>
      </c>
    </row>
    <row r="31">
      <c r="A31" s="11" t="n"/>
      <c r="K31" s="13" t="n"/>
      <c r="L31" s="15">
        <f>IF($A31="","",IF(B31&lt;&gt;"",B31,COUNTIFS($N$3:N31,N31)))</f>
        <v/>
      </c>
      <c r="M31" s="14">
        <f>IF($A31="","",IF(COUNTIFS('Sessions'!$P$3:$P$202,N31)=0,"⚠ no Max hangs session row","ok"))</f>
        <v/>
      </c>
      <c r="N31" s="15">
        <f>IF($A31="","",$A31*10+1)</f>
        <v/>
      </c>
    </row>
    <row r="32">
      <c r="A32" s="11" t="n"/>
      <c r="K32" s="13" t="n"/>
      <c r="L32" s="15">
        <f>IF($A32="","",IF(B32&lt;&gt;"",B32,COUNTIFS($N$3:N32,N32)))</f>
        <v/>
      </c>
      <c r="M32" s="14">
        <f>IF($A32="","",IF(COUNTIFS('Sessions'!$P$3:$P$202,N32)=0,"⚠ no Max hangs session row","ok"))</f>
        <v/>
      </c>
      <c r="N32" s="15">
        <f>IF($A32="","",$A32*10+1)</f>
        <v/>
      </c>
    </row>
    <row r="33">
      <c r="A33" s="11" t="n"/>
      <c r="K33" s="13" t="n"/>
      <c r="L33" s="15">
        <f>IF($A33="","",IF(B33&lt;&gt;"",B33,COUNTIFS($N$3:N33,N33)))</f>
        <v/>
      </c>
      <c r="M33" s="14">
        <f>IF($A33="","",IF(COUNTIFS('Sessions'!$P$3:$P$202,N33)=0,"⚠ no Max hangs session row","ok"))</f>
        <v/>
      </c>
      <c r="N33" s="15">
        <f>IF($A33="","",$A33*10+1)</f>
        <v/>
      </c>
    </row>
    <row r="34">
      <c r="A34" s="11" t="n"/>
      <c r="K34" s="13" t="n"/>
      <c r="L34" s="15">
        <f>IF($A34="","",IF(B34&lt;&gt;"",B34,COUNTIFS($N$3:N34,N34)))</f>
        <v/>
      </c>
      <c r="M34" s="14">
        <f>IF($A34="","",IF(COUNTIFS('Sessions'!$P$3:$P$202,N34)=0,"⚠ no Max hangs session row","ok"))</f>
        <v/>
      </c>
      <c r="N34" s="15">
        <f>IF($A34="","",$A34*10+1)</f>
        <v/>
      </c>
    </row>
    <row r="35">
      <c r="A35" s="11" t="n"/>
      <c r="K35" s="13" t="n"/>
      <c r="L35" s="15">
        <f>IF($A35="","",IF(B35&lt;&gt;"",B35,COUNTIFS($N$3:N35,N35)))</f>
        <v/>
      </c>
      <c r="M35" s="14">
        <f>IF($A35="","",IF(COUNTIFS('Sessions'!$P$3:$P$202,N35)=0,"⚠ no Max hangs session row","ok"))</f>
        <v/>
      </c>
      <c r="N35" s="15">
        <f>IF($A35="","",$A35*10+1)</f>
        <v/>
      </c>
    </row>
    <row r="36">
      <c r="A36" s="11" t="n"/>
      <c r="K36" s="13" t="n"/>
      <c r="L36" s="15">
        <f>IF($A36="","",IF(B36&lt;&gt;"",B36,COUNTIFS($N$3:N36,N36)))</f>
        <v/>
      </c>
      <c r="M36" s="14">
        <f>IF($A36="","",IF(COUNTIFS('Sessions'!$P$3:$P$202,N36)=0,"⚠ no Max hangs session row","ok"))</f>
        <v/>
      </c>
      <c r="N36" s="15">
        <f>IF($A36="","",$A36*10+1)</f>
        <v/>
      </c>
    </row>
    <row r="37">
      <c r="A37" s="11" t="n"/>
      <c r="K37" s="13" t="n"/>
      <c r="L37" s="15">
        <f>IF($A37="","",IF(B37&lt;&gt;"",B37,COUNTIFS($N$3:N37,N37)))</f>
        <v/>
      </c>
      <c r="M37" s="14">
        <f>IF($A37="","",IF(COUNTIFS('Sessions'!$P$3:$P$202,N37)=0,"⚠ no Max hangs session row","ok"))</f>
        <v/>
      </c>
      <c r="N37" s="15">
        <f>IF($A37="","",$A37*10+1)</f>
        <v/>
      </c>
    </row>
    <row r="38">
      <c r="A38" s="11" t="n"/>
      <c r="K38" s="13" t="n"/>
      <c r="L38" s="15">
        <f>IF($A38="","",IF(B38&lt;&gt;"",B38,COUNTIFS($N$3:N38,N38)))</f>
        <v/>
      </c>
      <c r="M38" s="14">
        <f>IF($A38="","",IF(COUNTIFS('Sessions'!$P$3:$P$202,N38)=0,"⚠ no Max hangs session row","ok"))</f>
        <v/>
      </c>
      <c r="N38" s="15">
        <f>IF($A38="","",$A38*10+1)</f>
        <v/>
      </c>
    </row>
    <row r="39">
      <c r="A39" s="11" t="n"/>
      <c r="K39" s="13" t="n"/>
      <c r="L39" s="15">
        <f>IF($A39="","",IF(B39&lt;&gt;"",B39,COUNTIFS($N$3:N39,N39)))</f>
        <v/>
      </c>
      <c r="M39" s="14">
        <f>IF($A39="","",IF(COUNTIFS('Sessions'!$P$3:$P$202,N39)=0,"⚠ no Max hangs session row","ok"))</f>
        <v/>
      </c>
      <c r="N39" s="15">
        <f>IF($A39="","",$A39*10+1)</f>
        <v/>
      </c>
    </row>
    <row r="40">
      <c r="A40" s="11" t="n"/>
      <c r="K40" s="13" t="n"/>
      <c r="L40" s="15">
        <f>IF($A40="","",IF(B40&lt;&gt;"",B40,COUNTIFS($N$3:N40,N40)))</f>
        <v/>
      </c>
      <c r="M40" s="14">
        <f>IF($A40="","",IF(COUNTIFS('Sessions'!$P$3:$P$202,N40)=0,"⚠ no Max hangs session row","ok"))</f>
        <v/>
      </c>
      <c r="N40" s="15">
        <f>IF($A40="","",$A40*10+1)</f>
        <v/>
      </c>
    </row>
    <row r="41">
      <c r="A41" s="11" t="n"/>
      <c r="K41" s="13" t="n"/>
      <c r="L41" s="15">
        <f>IF($A41="","",IF(B41&lt;&gt;"",B41,COUNTIFS($N$3:N41,N41)))</f>
        <v/>
      </c>
      <c r="M41" s="14">
        <f>IF($A41="","",IF(COUNTIFS('Sessions'!$P$3:$P$202,N41)=0,"⚠ no Max hangs session row","ok"))</f>
        <v/>
      </c>
      <c r="N41" s="15">
        <f>IF($A41="","",$A41*10+1)</f>
        <v/>
      </c>
    </row>
    <row r="42">
      <c r="A42" s="11" t="n"/>
      <c r="K42" s="13" t="n"/>
      <c r="L42" s="15">
        <f>IF($A42="","",IF(B42&lt;&gt;"",B42,COUNTIFS($N$3:N42,N42)))</f>
        <v/>
      </c>
      <c r="M42" s="14">
        <f>IF($A42="","",IF(COUNTIFS('Sessions'!$P$3:$P$202,N42)=0,"⚠ no Max hangs session row","ok"))</f>
        <v/>
      </c>
      <c r="N42" s="15">
        <f>IF($A42="","",$A42*10+1)</f>
        <v/>
      </c>
    </row>
    <row r="43">
      <c r="A43" s="11" t="n"/>
      <c r="K43" s="13" t="n"/>
      <c r="L43" s="15">
        <f>IF($A43="","",IF(B43&lt;&gt;"",B43,COUNTIFS($N$3:N43,N43)))</f>
        <v/>
      </c>
      <c r="M43" s="14">
        <f>IF($A43="","",IF(COUNTIFS('Sessions'!$P$3:$P$202,N43)=0,"⚠ no Max hangs session row","ok"))</f>
        <v/>
      </c>
      <c r="N43" s="15">
        <f>IF($A43="","",$A43*10+1)</f>
        <v/>
      </c>
    </row>
    <row r="44">
      <c r="A44" s="11" t="n"/>
      <c r="K44" s="13" t="n"/>
      <c r="L44" s="15">
        <f>IF($A44="","",IF(B44&lt;&gt;"",B44,COUNTIFS($N$3:N44,N44)))</f>
        <v/>
      </c>
      <c r="M44" s="14">
        <f>IF($A44="","",IF(COUNTIFS('Sessions'!$P$3:$P$202,N44)=0,"⚠ no Max hangs session row","ok"))</f>
        <v/>
      </c>
      <c r="N44" s="15">
        <f>IF($A44="","",$A44*10+1)</f>
        <v/>
      </c>
    </row>
    <row r="45">
      <c r="A45" s="11" t="n"/>
      <c r="K45" s="13" t="n"/>
      <c r="L45" s="15">
        <f>IF($A45="","",IF(B45&lt;&gt;"",B45,COUNTIFS($N$3:N45,N45)))</f>
        <v/>
      </c>
      <c r="M45" s="14">
        <f>IF($A45="","",IF(COUNTIFS('Sessions'!$P$3:$P$202,N45)=0,"⚠ no Max hangs session row","ok"))</f>
        <v/>
      </c>
      <c r="N45" s="15">
        <f>IF($A45="","",$A45*10+1)</f>
        <v/>
      </c>
    </row>
    <row r="46">
      <c r="A46" s="11" t="n"/>
      <c r="K46" s="13" t="n"/>
      <c r="L46" s="15">
        <f>IF($A46="","",IF(B46&lt;&gt;"",B46,COUNTIFS($N$3:N46,N46)))</f>
        <v/>
      </c>
      <c r="M46" s="14">
        <f>IF($A46="","",IF(COUNTIFS('Sessions'!$P$3:$P$202,N46)=0,"⚠ no Max hangs session row","ok"))</f>
        <v/>
      </c>
      <c r="N46" s="15">
        <f>IF($A46="","",$A46*10+1)</f>
        <v/>
      </c>
    </row>
    <row r="47">
      <c r="A47" s="11" t="n"/>
      <c r="K47" s="13" t="n"/>
      <c r="L47" s="15">
        <f>IF($A47="","",IF(B47&lt;&gt;"",B47,COUNTIFS($N$3:N47,N47)))</f>
        <v/>
      </c>
      <c r="M47" s="14">
        <f>IF($A47="","",IF(COUNTIFS('Sessions'!$P$3:$P$202,N47)=0,"⚠ no Max hangs session row","ok"))</f>
        <v/>
      </c>
      <c r="N47" s="15">
        <f>IF($A47="","",$A47*10+1)</f>
        <v/>
      </c>
    </row>
    <row r="48">
      <c r="A48" s="11" t="n"/>
      <c r="K48" s="13" t="n"/>
      <c r="L48" s="15">
        <f>IF($A48="","",IF(B48&lt;&gt;"",B48,COUNTIFS($N$3:N48,N48)))</f>
        <v/>
      </c>
      <c r="M48" s="14">
        <f>IF($A48="","",IF(COUNTIFS('Sessions'!$P$3:$P$202,N48)=0,"⚠ no Max hangs session row","ok"))</f>
        <v/>
      </c>
      <c r="N48" s="15">
        <f>IF($A48="","",$A48*10+1)</f>
        <v/>
      </c>
    </row>
    <row r="49">
      <c r="A49" s="11" t="n"/>
      <c r="K49" s="13" t="n"/>
      <c r="L49" s="15">
        <f>IF($A49="","",IF(B49&lt;&gt;"",B49,COUNTIFS($N$3:N49,N49)))</f>
        <v/>
      </c>
      <c r="M49" s="14">
        <f>IF($A49="","",IF(COUNTIFS('Sessions'!$P$3:$P$202,N49)=0,"⚠ no Max hangs session row","ok"))</f>
        <v/>
      </c>
      <c r="N49" s="15">
        <f>IF($A49="","",$A49*10+1)</f>
        <v/>
      </c>
    </row>
    <row r="50">
      <c r="A50" s="11" t="n"/>
      <c r="K50" s="13" t="n"/>
      <c r="L50" s="15">
        <f>IF($A50="","",IF(B50&lt;&gt;"",B50,COUNTIFS($N$3:N50,N50)))</f>
        <v/>
      </c>
      <c r="M50" s="14">
        <f>IF($A50="","",IF(COUNTIFS('Sessions'!$P$3:$P$202,N50)=0,"⚠ no Max hangs session row","ok"))</f>
        <v/>
      </c>
      <c r="N50" s="15">
        <f>IF($A50="","",$A50*10+1)</f>
        <v/>
      </c>
    </row>
    <row r="51">
      <c r="A51" s="11" t="n"/>
      <c r="K51" s="13" t="n"/>
      <c r="L51" s="15">
        <f>IF($A51="","",IF(B51&lt;&gt;"",B51,COUNTIFS($N$3:N51,N51)))</f>
        <v/>
      </c>
      <c r="M51" s="14">
        <f>IF($A51="","",IF(COUNTIFS('Sessions'!$P$3:$P$202,N51)=0,"⚠ no Max hangs session row","ok"))</f>
        <v/>
      </c>
      <c r="N51" s="15">
        <f>IF($A51="","",$A51*10+1)</f>
        <v/>
      </c>
    </row>
    <row r="52">
      <c r="A52" s="11" t="n"/>
      <c r="K52" s="13" t="n"/>
      <c r="L52" s="15">
        <f>IF($A52="","",IF(B52&lt;&gt;"",B52,COUNTIFS($N$3:N52,N52)))</f>
        <v/>
      </c>
      <c r="M52" s="14">
        <f>IF($A52="","",IF(COUNTIFS('Sessions'!$P$3:$P$202,N52)=0,"⚠ no Max hangs session row","ok"))</f>
        <v/>
      </c>
      <c r="N52" s="15">
        <f>IF($A52="","",$A52*10+1)</f>
        <v/>
      </c>
    </row>
    <row r="53">
      <c r="A53" s="11" t="n"/>
      <c r="K53" s="13" t="n"/>
      <c r="L53" s="15">
        <f>IF($A53="","",IF(B53&lt;&gt;"",B53,COUNTIFS($N$3:N53,N53)))</f>
        <v/>
      </c>
      <c r="M53" s="14">
        <f>IF($A53="","",IF(COUNTIFS('Sessions'!$P$3:$P$202,N53)=0,"⚠ no Max hangs session row","ok"))</f>
        <v/>
      </c>
      <c r="N53" s="15">
        <f>IF($A53="","",$A53*10+1)</f>
        <v/>
      </c>
    </row>
    <row r="54">
      <c r="A54" s="11" t="n"/>
      <c r="K54" s="13" t="n"/>
      <c r="L54" s="15">
        <f>IF($A54="","",IF(B54&lt;&gt;"",B54,COUNTIFS($N$3:N54,N54)))</f>
        <v/>
      </c>
      <c r="M54" s="14">
        <f>IF($A54="","",IF(COUNTIFS('Sessions'!$P$3:$P$202,N54)=0,"⚠ no Max hangs session row","ok"))</f>
        <v/>
      </c>
      <c r="N54" s="15">
        <f>IF($A54="","",$A54*10+1)</f>
        <v/>
      </c>
    </row>
    <row r="55">
      <c r="A55" s="11" t="n"/>
      <c r="K55" s="13" t="n"/>
      <c r="L55" s="15">
        <f>IF($A55="","",IF(B55&lt;&gt;"",B55,COUNTIFS($N$3:N55,N55)))</f>
        <v/>
      </c>
      <c r="M55" s="14">
        <f>IF($A55="","",IF(COUNTIFS('Sessions'!$P$3:$P$202,N55)=0,"⚠ no Max hangs session row","ok"))</f>
        <v/>
      </c>
      <c r="N55" s="15">
        <f>IF($A55="","",$A55*10+1)</f>
        <v/>
      </c>
    </row>
    <row r="56">
      <c r="A56" s="11" t="n"/>
      <c r="K56" s="13" t="n"/>
      <c r="L56" s="15">
        <f>IF($A56="","",IF(B56&lt;&gt;"",B56,COUNTIFS($N$3:N56,N56)))</f>
        <v/>
      </c>
      <c r="M56" s="14">
        <f>IF($A56="","",IF(COUNTIFS('Sessions'!$P$3:$P$202,N56)=0,"⚠ no Max hangs session row","ok"))</f>
        <v/>
      </c>
      <c r="N56" s="15">
        <f>IF($A56="","",$A56*10+1)</f>
        <v/>
      </c>
    </row>
    <row r="57">
      <c r="A57" s="11" t="n"/>
      <c r="K57" s="13" t="n"/>
      <c r="L57" s="15">
        <f>IF($A57="","",IF(B57&lt;&gt;"",B57,COUNTIFS($N$3:N57,N57)))</f>
        <v/>
      </c>
      <c r="M57" s="14">
        <f>IF($A57="","",IF(COUNTIFS('Sessions'!$P$3:$P$202,N57)=0,"⚠ no Max hangs session row","ok"))</f>
        <v/>
      </c>
      <c r="N57" s="15">
        <f>IF($A57="","",$A57*10+1)</f>
        <v/>
      </c>
    </row>
    <row r="58">
      <c r="A58" s="11" t="n"/>
      <c r="K58" s="13" t="n"/>
      <c r="L58" s="15">
        <f>IF($A58="","",IF(B58&lt;&gt;"",B58,COUNTIFS($N$3:N58,N58)))</f>
        <v/>
      </c>
      <c r="M58" s="14">
        <f>IF($A58="","",IF(COUNTIFS('Sessions'!$P$3:$P$202,N58)=0,"⚠ no Max hangs session row","ok"))</f>
        <v/>
      </c>
      <c r="N58" s="15">
        <f>IF($A58="","",$A58*10+1)</f>
        <v/>
      </c>
    </row>
    <row r="59">
      <c r="A59" s="11" t="n"/>
      <c r="K59" s="13" t="n"/>
      <c r="L59" s="15">
        <f>IF($A59="","",IF(B59&lt;&gt;"",B59,COUNTIFS($N$3:N59,N59)))</f>
        <v/>
      </c>
      <c r="M59" s="14">
        <f>IF($A59="","",IF(COUNTIFS('Sessions'!$P$3:$P$202,N59)=0,"⚠ no Max hangs session row","ok"))</f>
        <v/>
      </c>
      <c r="N59" s="15">
        <f>IF($A59="","",$A59*10+1)</f>
        <v/>
      </c>
    </row>
    <row r="60">
      <c r="A60" s="11" t="n"/>
      <c r="K60" s="13" t="n"/>
      <c r="L60" s="15">
        <f>IF($A60="","",IF(B60&lt;&gt;"",B60,COUNTIFS($N$3:N60,N60)))</f>
        <v/>
      </c>
      <c r="M60" s="14">
        <f>IF($A60="","",IF(COUNTIFS('Sessions'!$P$3:$P$202,N60)=0,"⚠ no Max hangs session row","ok"))</f>
        <v/>
      </c>
      <c r="N60" s="15">
        <f>IF($A60="","",$A60*10+1)</f>
        <v/>
      </c>
    </row>
    <row r="61">
      <c r="A61" s="11" t="n"/>
      <c r="K61" s="13" t="n"/>
      <c r="L61" s="15">
        <f>IF($A61="","",IF(B61&lt;&gt;"",B61,COUNTIFS($N$3:N61,N61)))</f>
        <v/>
      </c>
      <c r="M61" s="14">
        <f>IF($A61="","",IF(COUNTIFS('Sessions'!$P$3:$P$202,N61)=0,"⚠ no Max hangs session row","ok"))</f>
        <v/>
      </c>
      <c r="N61" s="15">
        <f>IF($A61="","",$A61*10+1)</f>
        <v/>
      </c>
    </row>
    <row r="62">
      <c r="A62" s="11" t="n"/>
      <c r="K62" s="13" t="n"/>
      <c r="L62" s="15">
        <f>IF($A62="","",IF(B62&lt;&gt;"",B62,COUNTIFS($N$3:N62,N62)))</f>
        <v/>
      </c>
      <c r="M62" s="14">
        <f>IF($A62="","",IF(COUNTIFS('Sessions'!$P$3:$P$202,N62)=0,"⚠ no Max hangs session row","ok"))</f>
        <v/>
      </c>
      <c r="N62" s="15">
        <f>IF($A62="","",$A62*10+1)</f>
        <v/>
      </c>
    </row>
    <row r="63">
      <c r="A63" s="11" t="n"/>
      <c r="K63" s="13" t="n"/>
      <c r="L63" s="15">
        <f>IF($A63="","",IF(B63&lt;&gt;"",B63,COUNTIFS($N$3:N63,N63)))</f>
        <v/>
      </c>
      <c r="M63" s="14">
        <f>IF($A63="","",IF(COUNTIFS('Sessions'!$P$3:$P$202,N63)=0,"⚠ no Max hangs session row","ok"))</f>
        <v/>
      </c>
      <c r="N63" s="15">
        <f>IF($A63="","",$A63*10+1)</f>
        <v/>
      </c>
    </row>
    <row r="64">
      <c r="A64" s="11" t="n"/>
      <c r="K64" s="13" t="n"/>
      <c r="L64" s="15">
        <f>IF($A64="","",IF(B64&lt;&gt;"",B64,COUNTIFS($N$3:N64,N64)))</f>
        <v/>
      </c>
      <c r="M64" s="14">
        <f>IF($A64="","",IF(COUNTIFS('Sessions'!$P$3:$P$202,N64)=0,"⚠ no Max hangs session row","ok"))</f>
        <v/>
      </c>
      <c r="N64" s="15">
        <f>IF($A64="","",$A64*10+1)</f>
        <v/>
      </c>
    </row>
    <row r="65">
      <c r="A65" s="11" t="n"/>
      <c r="K65" s="13" t="n"/>
      <c r="L65" s="15">
        <f>IF($A65="","",IF(B65&lt;&gt;"",B65,COUNTIFS($N$3:N65,N65)))</f>
        <v/>
      </c>
      <c r="M65" s="14">
        <f>IF($A65="","",IF(COUNTIFS('Sessions'!$P$3:$P$202,N65)=0,"⚠ no Max hangs session row","ok"))</f>
        <v/>
      </c>
      <c r="N65" s="15">
        <f>IF($A65="","",$A65*10+1)</f>
        <v/>
      </c>
    </row>
    <row r="66">
      <c r="A66" s="11" t="n"/>
      <c r="K66" s="13" t="n"/>
      <c r="L66" s="15">
        <f>IF($A66="","",IF(B66&lt;&gt;"",B66,COUNTIFS($N$3:N66,N66)))</f>
        <v/>
      </c>
      <c r="M66" s="14">
        <f>IF($A66="","",IF(COUNTIFS('Sessions'!$P$3:$P$202,N66)=0,"⚠ no Max hangs session row","ok"))</f>
        <v/>
      </c>
      <c r="N66" s="15">
        <f>IF($A66="","",$A66*10+1)</f>
        <v/>
      </c>
    </row>
    <row r="67">
      <c r="A67" s="11" t="n"/>
      <c r="K67" s="13" t="n"/>
      <c r="L67" s="15">
        <f>IF($A67="","",IF(B67&lt;&gt;"",B67,COUNTIFS($N$3:N67,N67)))</f>
        <v/>
      </c>
      <c r="M67" s="14">
        <f>IF($A67="","",IF(COUNTIFS('Sessions'!$P$3:$P$202,N67)=0,"⚠ no Max hangs session row","ok"))</f>
        <v/>
      </c>
      <c r="N67" s="15">
        <f>IF($A67="","",$A67*10+1)</f>
        <v/>
      </c>
    </row>
    <row r="68">
      <c r="A68" s="11" t="n"/>
      <c r="K68" s="13" t="n"/>
      <c r="L68" s="15">
        <f>IF($A68="","",IF(B68&lt;&gt;"",B68,COUNTIFS($N$3:N68,N68)))</f>
        <v/>
      </c>
      <c r="M68" s="14">
        <f>IF($A68="","",IF(COUNTIFS('Sessions'!$P$3:$P$202,N68)=0,"⚠ no Max hangs session row","ok"))</f>
        <v/>
      </c>
      <c r="N68" s="15">
        <f>IF($A68="","",$A68*10+1)</f>
        <v/>
      </c>
    </row>
    <row r="69">
      <c r="A69" s="11" t="n"/>
      <c r="K69" s="13" t="n"/>
      <c r="L69" s="15">
        <f>IF($A69="","",IF(B69&lt;&gt;"",B69,COUNTIFS($N$3:N69,N69)))</f>
        <v/>
      </c>
      <c r="M69" s="14">
        <f>IF($A69="","",IF(COUNTIFS('Sessions'!$P$3:$P$202,N69)=0,"⚠ no Max hangs session row","ok"))</f>
        <v/>
      </c>
      <c r="N69" s="15">
        <f>IF($A69="","",$A69*10+1)</f>
        <v/>
      </c>
    </row>
    <row r="70">
      <c r="A70" s="11" t="n"/>
      <c r="K70" s="13" t="n"/>
      <c r="L70" s="15">
        <f>IF($A70="","",IF(B70&lt;&gt;"",B70,COUNTIFS($N$3:N70,N70)))</f>
        <v/>
      </c>
      <c r="M70" s="14">
        <f>IF($A70="","",IF(COUNTIFS('Sessions'!$P$3:$P$202,N70)=0,"⚠ no Max hangs session row","ok"))</f>
        <v/>
      </c>
      <c r="N70" s="15">
        <f>IF($A70="","",$A70*10+1)</f>
        <v/>
      </c>
    </row>
    <row r="71">
      <c r="A71" s="11" t="n"/>
      <c r="K71" s="13" t="n"/>
      <c r="L71" s="15">
        <f>IF($A71="","",IF(B71&lt;&gt;"",B71,COUNTIFS($N$3:N71,N71)))</f>
        <v/>
      </c>
      <c r="M71" s="14">
        <f>IF($A71="","",IF(COUNTIFS('Sessions'!$P$3:$P$202,N71)=0,"⚠ no Max hangs session row","ok"))</f>
        <v/>
      </c>
      <c r="N71" s="15">
        <f>IF($A71="","",$A71*10+1)</f>
        <v/>
      </c>
    </row>
    <row r="72">
      <c r="A72" s="11" t="n"/>
      <c r="K72" s="13" t="n"/>
      <c r="L72" s="15">
        <f>IF($A72="","",IF(B72&lt;&gt;"",B72,COUNTIFS($N$3:N72,N72)))</f>
        <v/>
      </c>
      <c r="M72" s="14">
        <f>IF($A72="","",IF(COUNTIFS('Sessions'!$P$3:$P$202,N72)=0,"⚠ no Max hangs session row","ok"))</f>
        <v/>
      </c>
      <c r="N72" s="15">
        <f>IF($A72="","",$A72*10+1)</f>
        <v/>
      </c>
    </row>
    <row r="73">
      <c r="A73" s="11" t="n"/>
      <c r="K73" s="13" t="n"/>
      <c r="L73" s="15">
        <f>IF($A73="","",IF(B73&lt;&gt;"",B73,COUNTIFS($N$3:N73,N73)))</f>
        <v/>
      </c>
      <c r="M73" s="14">
        <f>IF($A73="","",IF(COUNTIFS('Sessions'!$P$3:$P$202,N73)=0,"⚠ no Max hangs session row","ok"))</f>
        <v/>
      </c>
      <c r="N73" s="15">
        <f>IF($A73="","",$A73*10+1)</f>
        <v/>
      </c>
    </row>
    <row r="74">
      <c r="A74" s="11" t="n"/>
      <c r="K74" s="13" t="n"/>
      <c r="L74" s="15">
        <f>IF($A74="","",IF(B74&lt;&gt;"",B74,COUNTIFS($N$3:N74,N74)))</f>
        <v/>
      </c>
      <c r="M74" s="14">
        <f>IF($A74="","",IF(COUNTIFS('Sessions'!$P$3:$P$202,N74)=0,"⚠ no Max hangs session row","ok"))</f>
        <v/>
      </c>
      <c r="N74" s="15">
        <f>IF($A74="","",$A74*10+1)</f>
        <v/>
      </c>
    </row>
    <row r="75">
      <c r="A75" s="11" t="n"/>
      <c r="K75" s="13" t="n"/>
      <c r="L75" s="15">
        <f>IF($A75="","",IF(B75&lt;&gt;"",B75,COUNTIFS($N$3:N75,N75)))</f>
        <v/>
      </c>
      <c r="M75" s="14">
        <f>IF($A75="","",IF(COUNTIFS('Sessions'!$P$3:$P$202,N75)=0,"⚠ no Max hangs session row","ok"))</f>
        <v/>
      </c>
      <c r="N75" s="15">
        <f>IF($A75="","",$A75*10+1)</f>
        <v/>
      </c>
    </row>
    <row r="76">
      <c r="A76" s="11" t="n"/>
      <c r="K76" s="13" t="n"/>
      <c r="L76" s="15">
        <f>IF($A76="","",IF(B76&lt;&gt;"",B76,COUNTIFS($N$3:N76,N76)))</f>
        <v/>
      </c>
      <c r="M76" s="14">
        <f>IF($A76="","",IF(COUNTIFS('Sessions'!$P$3:$P$202,N76)=0,"⚠ no Max hangs session row","ok"))</f>
        <v/>
      </c>
      <c r="N76" s="15">
        <f>IF($A76="","",$A76*10+1)</f>
        <v/>
      </c>
    </row>
    <row r="77">
      <c r="A77" s="11" t="n"/>
      <c r="K77" s="13" t="n"/>
      <c r="L77" s="15">
        <f>IF($A77="","",IF(B77&lt;&gt;"",B77,COUNTIFS($N$3:N77,N77)))</f>
        <v/>
      </c>
      <c r="M77" s="14">
        <f>IF($A77="","",IF(COUNTIFS('Sessions'!$P$3:$P$202,N77)=0,"⚠ no Max hangs session row","ok"))</f>
        <v/>
      </c>
      <c r="N77" s="15">
        <f>IF($A77="","",$A77*10+1)</f>
        <v/>
      </c>
    </row>
    <row r="78">
      <c r="A78" s="11" t="n"/>
      <c r="K78" s="13" t="n"/>
      <c r="L78" s="15">
        <f>IF($A78="","",IF(B78&lt;&gt;"",B78,COUNTIFS($N$3:N78,N78)))</f>
        <v/>
      </c>
      <c r="M78" s="14">
        <f>IF($A78="","",IF(COUNTIFS('Sessions'!$P$3:$P$202,N78)=0,"⚠ no Max hangs session row","ok"))</f>
        <v/>
      </c>
      <c r="N78" s="15">
        <f>IF($A78="","",$A78*10+1)</f>
        <v/>
      </c>
    </row>
    <row r="79">
      <c r="A79" s="11" t="n"/>
      <c r="K79" s="13" t="n"/>
      <c r="L79" s="15">
        <f>IF($A79="","",IF(B79&lt;&gt;"",B79,COUNTIFS($N$3:N79,N79)))</f>
        <v/>
      </c>
      <c r="M79" s="14">
        <f>IF($A79="","",IF(COUNTIFS('Sessions'!$P$3:$P$202,N79)=0,"⚠ no Max hangs session row","ok"))</f>
        <v/>
      </c>
      <c r="N79" s="15">
        <f>IF($A79="","",$A79*10+1)</f>
        <v/>
      </c>
    </row>
    <row r="80">
      <c r="A80" s="11" t="n"/>
      <c r="K80" s="13" t="n"/>
      <c r="L80" s="15">
        <f>IF($A80="","",IF(B80&lt;&gt;"",B80,COUNTIFS($N$3:N80,N80)))</f>
        <v/>
      </c>
      <c r="M80" s="14">
        <f>IF($A80="","",IF(COUNTIFS('Sessions'!$P$3:$P$202,N80)=0,"⚠ no Max hangs session row","ok"))</f>
        <v/>
      </c>
      <c r="N80" s="15">
        <f>IF($A80="","",$A80*10+1)</f>
        <v/>
      </c>
    </row>
    <row r="81">
      <c r="A81" s="11" t="n"/>
      <c r="K81" s="13" t="n"/>
      <c r="L81" s="15">
        <f>IF($A81="","",IF(B81&lt;&gt;"",B81,COUNTIFS($N$3:N81,N81)))</f>
        <v/>
      </c>
      <c r="M81" s="14">
        <f>IF($A81="","",IF(COUNTIFS('Sessions'!$P$3:$P$202,N81)=0,"⚠ no Max hangs session row","ok"))</f>
        <v/>
      </c>
      <c r="N81" s="15">
        <f>IF($A81="","",$A81*10+1)</f>
        <v/>
      </c>
    </row>
    <row r="82">
      <c r="A82" s="11" t="n"/>
      <c r="K82" s="13" t="n"/>
      <c r="L82" s="15">
        <f>IF($A82="","",IF(B82&lt;&gt;"",B82,COUNTIFS($N$3:N82,N82)))</f>
        <v/>
      </c>
      <c r="M82" s="14">
        <f>IF($A82="","",IF(COUNTIFS('Sessions'!$P$3:$P$202,N82)=0,"⚠ no Max hangs session row","ok"))</f>
        <v/>
      </c>
      <c r="N82" s="15">
        <f>IF($A82="","",$A82*10+1)</f>
        <v/>
      </c>
    </row>
    <row r="83">
      <c r="A83" s="11" t="n"/>
      <c r="K83" s="13" t="n"/>
      <c r="L83" s="15">
        <f>IF($A83="","",IF(B83&lt;&gt;"",B83,COUNTIFS($N$3:N83,N83)))</f>
        <v/>
      </c>
      <c r="M83" s="14">
        <f>IF($A83="","",IF(COUNTIFS('Sessions'!$P$3:$P$202,N83)=0,"⚠ no Max hangs session row","ok"))</f>
        <v/>
      </c>
      <c r="N83" s="15">
        <f>IF($A83="","",$A83*10+1)</f>
        <v/>
      </c>
    </row>
    <row r="84">
      <c r="A84" s="11" t="n"/>
      <c r="K84" s="13" t="n"/>
      <c r="L84" s="15">
        <f>IF($A84="","",IF(B84&lt;&gt;"",B84,COUNTIFS($N$3:N84,N84)))</f>
        <v/>
      </c>
      <c r="M84" s="14">
        <f>IF($A84="","",IF(COUNTIFS('Sessions'!$P$3:$P$202,N84)=0,"⚠ no Max hangs session row","ok"))</f>
        <v/>
      </c>
      <c r="N84" s="15">
        <f>IF($A84="","",$A84*10+1)</f>
        <v/>
      </c>
    </row>
    <row r="85">
      <c r="A85" s="11" t="n"/>
      <c r="K85" s="13" t="n"/>
      <c r="L85" s="15">
        <f>IF($A85="","",IF(B85&lt;&gt;"",B85,COUNTIFS($N$3:N85,N85)))</f>
        <v/>
      </c>
      <c r="M85" s="14">
        <f>IF($A85="","",IF(COUNTIFS('Sessions'!$P$3:$P$202,N85)=0,"⚠ no Max hangs session row","ok"))</f>
        <v/>
      </c>
      <c r="N85" s="15">
        <f>IF($A85="","",$A85*10+1)</f>
        <v/>
      </c>
    </row>
    <row r="86">
      <c r="A86" s="11" t="n"/>
      <c r="K86" s="13" t="n"/>
      <c r="L86" s="15">
        <f>IF($A86="","",IF(B86&lt;&gt;"",B86,COUNTIFS($N$3:N86,N86)))</f>
        <v/>
      </c>
      <c r="M86" s="14">
        <f>IF($A86="","",IF(COUNTIFS('Sessions'!$P$3:$P$202,N86)=0,"⚠ no Max hangs session row","ok"))</f>
        <v/>
      </c>
      <c r="N86" s="15">
        <f>IF($A86="","",$A86*10+1)</f>
        <v/>
      </c>
    </row>
    <row r="87">
      <c r="A87" s="11" t="n"/>
      <c r="K87" s="13" t="n"/>
      <c r="L87" s="15">
        <f>IF($A87="","",IF(B87&lt;&gt;"",B87,COUNTIFS($N$3:N87,N87)))</f>
        <v/>
      </c>
      <c r="M87" s="14">
        <f>IF($A87="","",IF(COUNTIFS('Sessions'!$P$3:$P$202,N87)=0,"⚠ no Max hangs session row","ok"))</f>
        <v/>
      </c>
      <c r="N87" s="15">
        <f>IF($A87="","",$A87*10+1)</f>
        <v/>
      </c>
    </row>
    <row r="88">
      <c r="A88" s="11" t="n"/>
      <c r="K88" s="13" t="n"/>
      <c r="L88" s="15">
        <f>IF($A88="","",IF(B88&lt;&gt;"",B88,COUNTIFS($N$3:N88,N88)))</f>
        <v/>
      </c>
      <c r="M88" s="14">
        <f>IF($A88="","",IF(COUNTIFS('Sessions'!$P$3:$P$202,N88)=0,"⚠ no Max hangs session row","ok"))</f>
        <v/>
      </c>
      <c r="N88" s="15">
        <f>IF($A88="","",$A88*10+1)</f>
        <v/>
      </c>
    </row>
    <row r="89">
      <c r="A89" s="11" t="n"/>
      <c r="K89" s="13" t="n"/>
      <c r="L89" s="15">
        <f>IF($A89="","",IF(B89&lt;&gt;"",B89,COUNTIFS($N$3:N89,N89)))</f>
        <v/>
      </c>
      <c r="M89" s="14">
        <f>IF($A89="","",IF(COUNTIFS('Sessions'!$P$3:$P$202,N89)=0,"⚠ no Max hangs session row","ok"))</f>
        <v/>
      </c>
      <c r="N89" s="15">
        <f>IF($A89="","",$A89*10+1)</f>
        <v/>
      </c>
    </row>
    <row r="90">
      <c r="A90" s="11" t="n"/>
      <c r="K90" s="13" t="n"/>
      <c r="L90" s="15">
        <f>IF($A90="","",IF(B90&lt;&gt;"",B90,COUNTIFS($N$3:N90,N90)))</f>
        <v/>
      </c>
      <c r="M90" s="14">
        <f>IF($A90="","",IF(COUNTIFS('Sessions'!$P$3:$P$202,N90)=0,"⚠ no Max hangs session row","ok"))</f>
        <v/>
      </c>
      <c r="N90" s="15">
        <f>IF($A90="","",$A90*10+1)</f>
        <v/>
      </c>
    </row>
    <row r="91">
      <c r="A91" s="11" t="n"/>
      <c r="K91" s="13" t="n"/>
      <c r="L91" s="15">
        <f>IF($A91="","",IF(B91&lt;&gt;"",B91,COUNTIFS($N$3:N91,N91)))</f>
        <v/>
      </c>
      <c r="M91" s="14">
        <f>IF($A91="","",IF(COUNTIFS('Sessions'!$P$3:$P$202,N91)=0,"⚠ no Max hangs session row","ok"))</f>
        <v/>
      </c>
      <c r="N91" s="15">
        <f>IF($A91="","",$A91*10+1)</f>
        <v/>
      </c>
    </row>
    <row r="92">
      <c r="A92" s="11" t="n"/>
      <c r="K92" s="13" t="n"/>
      <c r="L92" s="15">
        <f>IF($A92="","",IF(B92&lt;&gt;"",B92,COUNTIFS($N$3:N92,N92)))</f>
        <v/>
      </c>
      <c r="M92" s="14">
        <f>IF($A92="","",IF(COUNTIFS('Sessions'!$P$3:$P$202,N92)=0,"⚠ no Max hangs session row","ok"))</f>
        <v/>
      </c>
      <c r="N92" s="15">
        <f>IF($A92="","",$A92*10+1)</f>
        <v/>
      </c>
    </row>
    <row r="93">
      <c r="A93" s="11" t="n"/>
      <c r="K93" s="13" t="n"/>
      <c r="L93" s="15">
        <f>IF($A93="","",IF(B93&lt;&gt;"",B93,COUNTIFS($N$3:N93,N93)))</f>
        <v/>
      </c>
      <c r="M93" s="14">
        <f>IF($A93="","",IF(COUNTIFS('Sessions'!$P$3:$P$202,N93)=0,"⚠ no Max hangs session row","ok"))</f>
        <v/>
      </c>
      <c r="N93" s="15">
        <f>IF($A93="","",$A93*10+1)</f>
        <v/>
      </c>
    </row>
    <row r="94">
      <c r="A94" s="11" t="n"/>
      <c r="K94" s="13" t="n"/>
      <c r="L94" s="15">
        <f>IF($A94="","",IF(B94&lt;&gt;"",B94,COUNTIFS($N$3:N94,N94)))</f>
        <v/>
      </c>
      <c r="M94" s="14">
        <f>IF($A94="","",IF(COUNTIFS('Sessions'!$P$3:$P$202,N94)=0,"⚠ no Max hangs session row","ok"))</f>
        <v/>
      </c>
      <c r="N94" s="15">
        <f>IF($A94="","",$A94*10+1)</f>
        <v/>
      </c>
    </row>
    <row r="95">
      <c r="A95" s="11" t="n"/>
      <c r="K95" s="13" t="n"/>
      <c r="L95" s="15">
        <f>IF($A95="","",IF(B95&lt;&gt;"",B95,COUNTIFS($N$3:N95,N95)))</f>
        <v/>
      </c>
      <c r="M95" s="14">
        <f>IF($A95="","",IF(COUNTIFS('Sessions'!$P$3:$P$202,N95)=0,"⚠ no Max hangs session row","ok"))</f>
        <v/>
      </c>
      <c r="N95" s="15">
        <f>IF($A95="","",$A95*10+1)</f>
        <v/>
      </c>
    </row>
    <row r="96">
      <c r="A96" s="11" t="n"/>
      <c r="K96" s="13" t="n"/>
      <c r="L96" s="15">
        <f>IF($A96="","",IF(B96&lt;&gt;"",B96,COUNTIFS($N$3:N96,N96)))</f>
        <v/>
      </c>
      <c r="M96" s="14">
        <f>IF($A96="","",IF(COUNTIFS('Sessions'!$P$3:$P$202,N96)=0,"⚠ no Max hangs session row","ok"))</f>
        <v/>
      </c>
      <c r="N96" s="15">
        <f>IF($A96="","",$A96*10+1)</f>
        <v/>
      </c>
    </row>
    <row r="97">
      <c r="A97" s="11" t="n"/>
      <c r="K97" s="13" t="n"/>
      <c r="L97" s="15">
        <f>IF($A97="","",IF(B97&lt;&gt;"",B97,COUNTIFS($N$3:N97,N97)))</f>
        <v/>
      </c>
      <c r="M97" s="14">
        <f>IF($A97="","",IF(COUNTIFS('Sessions'!$P$3:$P$202,N97)=0,"⚠ no Max hangs session row","ok"))</f>
        <v/>
      </c>
      <c r="N97" s="15">
        <f>IF($A97="","",$A97*10+1)</f>
        <v/>
      </c>
    </row>
    <row r="98">
      <c r="A98" s="11" t="n"/>
      <c r="K98" s="13" t="n"/>
      <c r="L98" s="15">
        <f>IF($A98="","",IF(B98&lt;&gt;"",B98,COUNTIFS($N$3:N98,N98)))</f>
        <v/>
      </c>
      <c r="M98" s="14">
        <f>IF($A98="","",IF(COUNTIFS('Sessions'!$P$3:$P$202,N98)=0,"⚠ no Max hangs session row","ok"))</f>
        <v/>
      </c>
      <c r="N98" s="15">
        <f>IF($A98="","",$A98*10+1)</f>
        <v/>
      </c>
    </row>
    <row r="99">
      <c r="A99" s="11" t="n"/>
      <c r="K99" s="13" t="n"/>
      <c r="L99" s="15">
        <f>IF($A99="","",IF(B99&lt;&gt;"",B99,COUNTIFS($N$3:N99,N99)))</f>
        <v/>
      </c>
      <c r="M99" s="14">
        <f>IF($A99="","",IF(COUNTIFS('Sessions'!$P$3:$P$202,N99)=0,"⚠ no Max hangs session row","ok"))</f>
        <v/>
      </c>
      <c r="N99" s="15">
        <f>IF($A99="","",$A99*10+1)</f>
        <v/>
      </c>
    </row>
    <row r="100">
      <c r="A100" s="11" t="n"/>
      <c r="K100" s="13" t="n"/>
      <c r="L100" s="15">
        <f>IF($A100="","",IF(B100&lt;&gt;"",B100,COUNTIFS($N$3:N100,N100)))</f>
        <v/>
      </c>
      <c r="M100" s="14">
        <f>IF($A100="","",IF(COUNTIFS('Sessions'!$P$3:$P$202,N100)=0,"⚠ no Max hangs session row","ok"))</f>
        <v/>
      </c>
      <c r="N100" s="15">
        <f>IF($A100="","",$A100*10+1)</f>
        <v/>
      </c>
    </row>
    <row r="101">
      <c r="A101" s="11" t="n"/>
      <c r="K101" s="13" t="n"/>
      <c r="L101" s="15">
        <f>IF($A101="","",IF(B101&lt;&gt;"",B101,COUNTIFS($N$3:N101,N101)))</f>
        <v/>
      </c>
      <c r="M101" s="14">
        <f>IF($A101="","",IF(COUNTIFS('Sessions'!$P$3:$P$202,N101)=0,"⚠ no Max hangs session row","ok"))</f>
        <v/>
      </c>
      <c r="N101" s="15">
        <f>IF($A101="","",$A101*10+1)</f>
        <v/>
      </c>
    </row>
    <row r="102">
      <c r="A102" s="11" t="n"/>
      <c r="K102" s="13" t="n"/>
      <c r="L102" s="15">
        <f>IF($A102="","",IF(B102&lt;&gt;"",B102,COUNTIFS($N$3:N102,N102)))</f>
        <v/>
      </c>
      <c r="M102" s="14">
        <f>IF($A102="","",IF(COUNTIFS('Sessions'!$P$3:$P$202,N102)=0,"⚠ no Max hangs session row","ok"))</f>
        <v/>
      </c>
      <c r="N102" s="15">
        <f>IF($A102="","",$A102*10+1)</f>
        <v/>
      </c>
    </row>
    <row r="103">
      <c r="A103" s="11" t="n"/>
      <c r="K103" s="13" t="n"/>
      <c r="L103" s="15">
        <f>IF($A103="","",IF(B103&lt;&gt;"",B103,COUNTIFS($N$3:N103,N103)))</f>
        <v/>
      </c>
      <c r="M103" s="14">
        <f>IF($A103="","",IF(COUNTIFS('Sessions'!$P$3:$P$202,N103)=0,"⚠ no Max hangs session row","ok"))</f>
        <v/>
      </c>
      <c r="N103" s="15">
        <f>IF($A103="","",$A103*10+1)</f>
        <v/>
      </c>
    </row>
    <row r="104">
      <c r="A104" s="11" t="n"/>
      <c r="K104" s="13" t="n"/>
      <c r="L104" s="15">
        <f>IF($A104="","",IF(B104&lt;&gt;"",B104,COUNTIFS($N$3:N104,N104)))</f>
        <v/>
      </c>
      <c r="M104" s="14">
        <f>IF($A104="","",IF(COUNTIFS('Sessions'!$P$3:$P$202,N104)=0,"⚠ no Max hangs session row","ok"))</f>
        <v/>
      </c>
      <c r="N104" s="15">
        <f>IF($A104="","",$A104*10+1)</f>
        <v/>
      </c>
    </row>
    <row r="105">
      <c r="A105" s="11" t="n"/>
      <c r="K105" s="13" t="n"/>
      <c r="L105" s="15">
        <f>IF($A105="","",IF(B105&lt;&gt;"",B105,COUNTIFS($N$3:N105,N105)))</f>
        <v/>
      </c>
      <c r="M105" s="14">
        <f>IF($A105="","",IF(COUNTIFS('Sessions'!$P$3:$P$202,N105)=0,"⚠ no Max hangs session row","ok"))</f>
        <v/>
      </c>
      <c r="N105" s="15">
        <f>IF($A105="","",$A105*10+1)</f>
        <v/>
      </c>
    </row>
    <row r="106">
      <c r="A106" s="11" t="n"/>
      <c r="K106" s="13" t="n"/>
      <c r="L106" s="15">
        <f>IF($A106="","",IF(B106&lt;&gt;"",B106,COUNTIFS($N$3:N106,N106)))</f>
        <v/>
      </c>
      <c r="M106" s="14">
        <f>IF($A106="","",IF(COUNTIFS('Sessions'!$P$3:$P$202,N106)=0,"⚠ no Max hangs session row","ok"))</f>
        <v/>
      </c>
      <c r="N106" s="15">
        <f>IF($A106="","",$A106*10+1)</f>
        <v/>
      </c>
    </row>
    <row r="107">
      <c r="A107" s="11" t="n"/>
      <c r="K107" s="13" t="n"/>
      <c r="L107" s="15">
        <f>IF($A107="","",IF(B107&lt;&gt;"",B107,COUNTIFS($N$3:N107,N107)))</f>
        <v/>
      </c>
      <c r="M107" s="14">
        <f>IF($A107="","",IF(COUNTIFS('Sessions'!$P$3:$P$202,N107)=0,"⚠ no Max hangs session row","ok"))</f>
        <v/>
      </c>
      <c r="N107" s="15">
        <f>IF($A107="","",$A107*10+1)</f>
        <v/>
      </c>
    </row>
    <row r="108">
      <c r="A108" s="11" t="n"/>
      <c r="K108" s="13" t="n"/>
      <c r="L108" s="15">
        <f>IF($A108="","",IF(B108&lt;&gt;"",B108,COUNTIFS($N$3:N108,N108)))</f>
        <v/>
      </c>
      <c r="M108" s="14">
        <f>IF($A108="","",IF(COUNTIFS('Sessions'!$P$3:$P$202,N108)=0,"⚠ no Max hangs session row","ok"))</f>
        <v/>
      </c>
      <c r="N108" s="15">
        <f>IF($A108="","",$A108*10+1)</f>
        <v/>
      </c>
    </row>
    <row r="109">
      <c r="A109" s="11" t="n"/>
      <c r="K109" s="13" t="n"/>
      <c r="L109" s="15">
        <f>IF($A109="","",IF(B109&lt;&gt;"",B109,COUNTIFS($N$3:N109,N109)))</f>
        <v/>
      </c>
      <c r="M109" s="14">
        <f>IF($A109="","",IF(COUNTIFS('Sessions'!$P$3:$P$202,N109)=0,"⚠ no Max hangs session row","ok"))</f>
        <v/>
      </c>
      <c r="N109" s="15">
        <f>IF($A109="","",$A109*10+1)</f>
        <v/>
      </c>
    </row>
    <row r="110">
      <c r="A110" s="11" t="n"/>
      <c r="K110" s="13" t="n"/>
      <c r="L110" s="15">
        <f>IF($A110="","",IF(B110&lt;&gt;"",B110,COUNTIFS($N$3:N110,N110)))</f>
        <v/>
      </c>
      <c r="M110" s="14">
        <f>IF($A110="","",IF(COUNTIFS('Sessions'!$P$3:$P$202,N110)=0,"⚠ no Max hangs session row","ok"))</f>
        <v/>
      </c>
      <c r="N110" s="15">
        <f>IF($A110="","",$A110*10+1)</f>
        <v/>
      </c>
    </row>
    <row r="111">
      <c r="A111" s="11" t="n"/>
      <c r="K111" s="13" t="n"/>
      <c r="L111" s="15">
        <f>IF($A111="","",IF(B111&lt;&gt;"",B111,COUNTIFS($N$3:N111,N111)))</f>
        <v/>
      </c>
      <c r="M111" s="14">
        <f>IF($A111="","",IF(COUNTIFS('Sessions'!$P$3:$P$202,N111)=0,"⚠ no Max hangs session row","ok"))</f>
        <v/>
      </c>
      <c r="N111" s="15">
        <f>IF($A111="","",$A111*10+1)</f>
        <v/>
      </c>
    </row>
    <row r="112">
      <c r="A112" s="11" t="n"/>
      <c r="K112" s="13" t="n"/>
      <c r="L112" s="15">
        <f>IF($A112="","",IF(B112&lt;&gt;"",B112,COUNTIFS($N$3:N112,N112)))</f>
        <v/>
      </c>
      <c r="M112" s="14">
        <f>IF($A112="","",IF(COUNTIFS('Sessions'!$P$3:$P$202,N112)=0,"⚠ no Max hangs session row","ok"))</f>
        <v/>
      </c>
      <c r="N112" s="15">
        <f>IF($A112="","",$A112*10+1)</f>
        <v/>
      </c>
    </row>
    <row r="113">
      <c r="A113" s="11" t="n"/>
      <c r="K113" s="13" t="n"/>
      <c r="L113" s="15">
        <f>IF($A113="","",IF(B113&lt;&gt;"",B113,COUNTIFS($N$3:N113,N113)))</f>
        <v/>
      </c>
      <c r="M113" s="14">
        <f>IF($A113="","",IF(COUNTIFS('Sessions'!$P$3:$P$202,N113)=0,"⚠ no Max hangs session row","ok"))</f>
        <v/>
      </c>
      <c r="N113" s="15">
        <f>IF($A113="","",$A113*10+1)</f>
        <v/>
      </c>
    </row>
    <row r="114">
      <c r="A114" s="11" t="n"/>
      <c r="K114" s="13" t="n"/>
      <c r="L114" s="15">
        <f>IF($A114="","",IF(B114&lt;&gt;"",B114,COUNTIFS($N$3:N114,N114)))</f>
        <v/>
      </c>
      <c r="M114" s="14">
        <f>IF($A114="","",IF(COUNTIFS('Sessions'!$P$3:$P$202,N114)=0,"⚠ no Max hangs session row","ok"))</f>
        <v/>
      </c>
      <c r="N114" s="15">
        <f>IF($A114="","",$A114*10+1)</f>
        <v/>
      </c>
    </row>
    <row r="115">
      <c r="A115" s="11" t="n"/>
      <c r="K115" s="13" t="n"/>
      <c r="L115" s="15">
        <f>IF($A115="","",IF(B115&lt;&gt;"",B115,COUNTIFS($N$3:N115,N115)))</f>
        <v/>
      </c>
      <c r="M115" s="14">
        <f>IF($A115="","",IF(COUNTIFS('Sessions'!$P$3:$P$202,N115)=0,"⚠ no Max hangs session row","ok"))</f>
        <v/>
      </c>
      <c r="N115" s="15">
        <f>IF($A115="","",$A115*10+1)</f>
        <v/>
      </c>
    </row>
    <row r="116">
      <c r="A116" s="11" t="n"/>
      <c r="K116" s="13" t="n"/>
      <c r="L116" s="15">
        <f>IF($A116="","",IF(B116&lt;&gt;"",B116,COUNTIFS($N$3:N116,N116)))</f>
        <v/>
      </c>
      <c r="M116" s="14">
        <f>IF($A116="","",IF(COUNTIFS('Sessions'!$P$3:$P$202,N116)=0,"⚠ no Max hangs session row","ok"))</f>
        <v/>
      </c>
      <c r="N116" s="15">
        <f>IF($A116="","",$A116*10+1)</f>
        <v/>
      </c>
    </row>
    <row r="117">
      <c r="A117" s="11" t="n"/>
      <c r="K117" s="13" t="n"/>
      <c r="L117" s="15">
        <f>IF($A117="","",IF(B117&lt;&gt;"",B117,COUNTIFS($N$3:N117,N117)))</f>
        <v/>
      </c>
      <c r="M117" s="14">
        <f>IF($A117="","",IF(COUNTIFS('Sessions'!$P$3:$P$202,N117)=0,"⚠ no Max hangs session row","ok"))</f>
        <v/>
      </c>
      <c r="N117" s="15">
        <f>IF($A117="","",$A117*10+1)</f>
        <v/>
      </c>
    </row>
    <row r="118">
      <c r="A118" s="11" t="n"/>
      <c r="K118" s="13" t="n"/>
      <c r="L118" s="15">
        <f>IF($A118="","",IF(B118&lt;&gt;"",B118,COUNTIFS($N$3:N118,N118)))</f>
        <v/>
      </c>
      <c r="M118" s="14">
        <f>IF($A118="","",IF(COUNTIFS('Sessions'!$P$3:$P$202,N118)=0,"⚠ no Max hangs session row","ok"))</f>
        <v/>
      </c>
      <c r="N118" s="15">
        <f>IF($A118="","",$A118*10+1)</f>
        <v/>
      </c>
    </row>
    <row r="119">
      <c r="A119" s="11" t="n"/>
      <c r="K119" s="13" t="n"/>
      <c r="L119" s="15">
        <f>IF($A119="","",IF(B119&lt;&gt;"",B119,COUNTIFS($N$3:N119,N119)))</f>
        <v/>
      </c>
      <c r="M119" s="14">
        <f>IF($A119="","",IF(COUNTIFS('Sessions'!$P$3:$P$202,N119)=0,"⚠ no Max hangs session row","ok"))</f>
        <v/>
      </c>
      <c r="N119" s="15">
        <f>IF($A119="","",$A119*10+1)</f>
        <v/>
      </c>
    </row>
    <row r="120">
      <c r="A120" s="11" t="n"/>
      <c r="K120" s="13" t="n"/>
      <c r="L120" s="15">
        <f>IF($A120="","",IF(B120&lt;&gt;"",B120,COUNTIFS($N$3:N120,N120)))</f>
        <v/>
      </c>
      <c r="M120" s="14">
        <f>IF($A120="","",IF(COUNTIFS('Sessions'!$P$3:$P$202,N120)=0,"⚠ no Max hangs session row","ok"))</f>
        <v/>
      </c>
      <c r="N120" s="15">
        <f>IF($A120="","",$A120*10+1)</f>
        <v/>
      </c>
    </row>
    <row r="121">
      <c r="A121" s="11" t="n"/>
      <c r="K121" s="13" t="n"/>
      <c r="L121" s="15">
        <f>IF($A121="","",IF(B121&lt;&gt;"",B121,COUNTIFS($N$3:N121,N121)))</f>
        <v/>
      </c>
      <c r="M121" s="14">
        <f>IF($A121="","",IF(COUNTIFS('Sessions'!$P$3:$P$202,N121)=0,"⚠ no Max hangs session row","ok"))</f>
        <v/>
      </c>
      <c r="N121" s="15">
        <f>IF($A121="","",$A121*10+1)</f>
        <v/>
      </c>
    </row>
    <row r="122">
      <c r="A122" s="11" t="n"/>
      <c r="K122" s="13" t="n"/>
      <c r="L122" s="15">
        <f>IF($A122="","",IF(B122&lt;&gt;"",B122,COUNTIFS($N$3:N122,N122)))</f>
        <v/>
      </c>
      <c r="M122" s="14">
        <f>IF($A122="","",IF(COUNTIFS('Sessions'!$P$3:$P$202,N122)=0,"⚠ no Max hangs session row","ok"))</f>
        <v/>
      </c>
      <c r="N122" s="15">
        <f>IF($A122="","",$A122*10+1)</f>
        <v/>
      </c>
    </row>
    <row r="123">
      <c r="A123" s="11" t="n"/>
      <c r="K123" s="13" t="n"/>
      <c r="L123" s="15">
        <f>IF($A123="","",IF(B123&lt;&gt;"",B123,COUNTIFS($N$3:N123,N123)))</f>
        <v/>
      </c>
      <c r="M123" s="14">
        <f>IF($A123="","",IF(COUNTIFS('Sessions'!$P$3:$P$202,N123)=0,"⚠ no Max hangs session row","ok"))</f>
        <v/>
      </c>
      <c r="N123" s="15">
        <f>IF($A123="","",$A123*10+1)</f>
        <v/>
      </c>
    </row>
    <row r="124">
      <c r="A124" s="11" t="n"/>
      <c r="K124" s="13" t="n"/>
      <c r="L124" s="15">
        <f>IF($A124="","",IF(B124&lt;&gt;"",B124,COUNTIFS($N$3:N124,N124)))</f>
        <v/>
      </c>
      <c r="M124" s="14">
        <f>IF($A124="","",IF(COUNTIFS('Sessions'!$P$3:$P$202,N124)=0,"⚠ no Max hangs session row","ok"))</f>
        <v/>
      </c>
      <c r="N124" s="15">
        <f>IF($A124="","",$A124*10+1)</f>
        <v/>
      </c>
    </row>
    <row r="125">
      <c r="A125" s="11" t="n"/>
      <c r="K125" s="13" t="n"/>
      <c r="L125" s="15">
        <f>IF($A125="","",IF(B125&lt;&gt;"",B125,COUNTIFS($N$3:N125,N125)))</f>
        <v/>
      </c>
      <c r="M125" s="14">
        <f>IF($A125="","",IF(COUNTIFS('Sessions'!$P$3:$P$202,N125)=0,"⚠ no Max hangs session row","ok"))</f>
        <v/>
      </c>
      <c r="N125" s="15">
        <f>IF($A125="","",$A125*10+1)</f>
        <v/>
      </c>
    </row>
    <row r="126">
      <c r="A126" s="11" t="n"/>
      <c r="K126" s="13" t="n"/>
      <c r="L126" s="15">
        <f>IF($A126="","",IF(B126&lt;&gt;"",B126,COUNTIFS($N$3:N126,N126)))</f>
        <v/>
      </c>
      <c r="M126" s="14">
        <f>IF($A126="","",IF(COUNTIFS('Sessions'!$P$3:$P$202,N126)=0,"⚠ no Max hangs session row","ok"))</f>
        <v/>
      </c>
      <c r="N126" s="15">
        <f>IF($A126="","",$A126*10+1)</f>
        <v/>
      </c>
    </row>
    <row r="127">
      <c r="A127" s="11" t="n"/>
      <c r="K127" s="13" t="n"/>
      <c r="L127" s="15">
        <f>IF($A127="","",IF(B127&lt;&gt;"",B127,COUNTIFS($N$3:N127,N127)))</f>
        <v/>
      </c>
      <c r="M127" s="14">
        <f>IF($A127="","",IF(COUNTIFS('Sessions'!$P$3:$P$202,N127)=0,"⚠ no Max hangs session row","ok"))</f>
        <v/>
      </c>
      <c r="N127" s="15">
        <f>IF($A127="","",$A127*10+1)</f>
        <v/>
      </c>
    </row>
    <row r="128">
      <c r="A128" s="11" t="n"/>
      <c r="K128" s="13" t="n"/>
      <c r="L128" s="15">
        <f>IF($A128="","",IF(B128&lt;&gt;"",B128,COUNTIFS($N$3:N128,N128)))</f>
        <v/>
      </c>
      <c r="M128" s="14">
        <f>IF($A128="","",IF(COUNTIFS('Sessions'!$P$3:$P$202,N128)=0,"⚠ no Max hangs session row","ok"))</f>
        <v/>
      </c>
      <c r="N128" s="15">
        <f>IF($A128="","",$A128*10+1)</f>
        <v/>
      </c>
    </row>
    <row r="129">
      <c r="A129" s="11" t="n"/>
      <c r="K129" s="13" t="n"/>
      <c r="L129" s="15">
        <f>IF($A129="","",IF(B129&lt;&gt;"",B129,COUNTIFS($N$3:N129,N129)))</f>
        <v/>
      </c>
      <c r="M129" s="14">
        <f>IF($A129="","",IF(COUNTIFS('Sessions'!$P$3:$P$202,N129)=0,"⚠ no Max hangs session row","ok"))</f>
        <v/>
      </c>
      <c r="N129" s="15">
        <f>IF($A129="","",$A129*10+1)</f>
        <v/>
      </c>
    </row>
    <row r="130">
      <c r="A130" s="11" t="n"/>
      <c r="K130" s="13" t="n"/>
      <c r="L130" s="15">
        <f>IF($A130="","",IF(B130&lt;&gt;"",B130,COUNTIFS($N$3:N130,N130)))</f>
        <v/>
      </c>
      <c r="M130" s="14">
        <f>IF($A130="","",IF(COUNTIFS('Sessions'!$P$3:$P$202,N130)=0,"⚠ no Max hangs session row","ok"))</f>
        <v/>
      </c>
      <c r="N130" s="15">
        <f>IF($A130="","",$A130*10+1)</f>
        <v/>
      </c>
    </row>
    <row r="131">
      <c r="A131" s="11" t="n"/>
      <c r="K131" s="13" t="n"/>
      <c r="L131" s="15">
        <f>IF($A131="","",IF(B131&lt;&gt;"",B131,COUNTIFS($N$3:N131,N131)))</f>
        <v/>
      </c>
      <c r="M131" s="14">
        <f>IF($A131="","",IF(COUNTIFS('Sessions'!$P$3:$P$202,N131)=0,"⚠ no Max hangs session row","ok"))</f>
        <v/>
      </c>
      <c r="N131" s="15">
        <f>IF($A131="","",$A131*10+1)</f>
        <v/>
      </c>
    </row>
    <row r="132">
      <c r="A132" s="11" t="n"/>
      <c r="K132" s="13" t="n"/>
      <c r="L132" s="15">
        <f>IF($A132="","",IF(B132&lt;&gt;"",B132,COUNTIFS($N$3:N132,N132)))</f>
        <v/>
      </c>
      <c r="M132" s="14">
        <f>IF($A132="","",IF(COUNTIFS('Sessions'!$P$3:$P$202,N132)=0,"⚠ no Max hangs session row","ok"))</f>
        <v/>
      </c>
      <c r="N132" s="15">
        <f>IF($A132="","",$A132*10+1)</f>
        <v/>
      </c>
    </row>
    <row r="133">
      <c r="A133" s="11" t="n"/>
      <c r="K133" s="13" t="n"/>
      <c r="L133" s="15">
        <f>IF($A133="","",IF(B133&lt;&gt;"",B133,COUNTIFS($N$3:N133,N133)))</f>
        <v/>
      </c>
      <c r="M133" s="14">
        <f>IF($A133="","",IF(COUNTIFS('Sessions'!$P$3:$P$202,N133)=0,"⚠ no Max hangs session row","ok"))</f>
        <v/>
      </c>
      <c r="N133" s="15">
        <f>IF($A133="","",$A133*10+1)</f>
        <v/>
      </c>
    </row>
    <row r="134">
      <c r="A134" s="11" t="n"/>
      <c r="K134" s="13" t="n"/>
      <c r="L134" s="15">
        <f>IF($A134="","",IF(B134&lt;&gt;"",B134,COUNTIFS($N$3:N134,N134)))</f>
        <v/>
      </c>
      <c r="M134" s="14">
        <f>IF($A134="","",IF(COUNTIFS('Sessions'!$P$3:$P$202,N134)=0,"⚠ no Max hangs session row","ok"))</f>
        <v/>
      </c>
      <c r="N134" s="15">
        <f>IF($A134="","",$A134*10+1)</f>
        <v/>
      </c>
    </row>
    <row r="135">
      <c r="A135" s="11" t="n"/>
      <c r="K135" s="13" t="n"/>
      <c r="L135" s="15">
        <f>IF($A135="","",IF(B135&lt;&gt;"",B135,COUNTIFS($N$3:N135,N135)))</f>
        <v/>
      </c>
      <c r="M135" s="14">
        <f>IF($A135="","",IF(COUNTIFS('Sessions'!$P$3:$P$202,N135)=0,"⚠ no Max hangs session row","ok"))</f>
        <v/>
      </c>
      <c r="N135" s="15">
        <f>IF($A135="","",$A135*10+1)</f>
        <v/>
      </c>
    </row>
    <row r="136">
      <c r="A136" s="11" t="n"/>
      <c r="K136" s="13" t="n"/>
      <c r="L136" s="15">
        <f>IF($A136="","",IF(B136&lt;&gt;"",B136,COUNTIFS($N$3:N136,N136)))</f>
        <v/>
      </c>
      <c r="M136" s="14">
        <f>IF($A136="","",IF(COUNTIFS('Sessions'!$P$3:$P$202,N136)=0,"⚠ no Max hangs session row","ok"))</f>
        <v/>
      </c>
      <c r="N136" s="15">
        <f>IF($A136="","",$A136*10+1)</f>
        <v/>
      </c>
    </row>
    <row r="137">
      <c r="A137" s="11" t="n"/>
      <c r="K137" s="13" t="n"/>
      <c r="L137" s="15">
        <f>IF($A137="","",IF(B137&lt;&gt;"",B137,COUNTIFS($N$3:N137,N137)))</f>
        <v/>
      </c>
      <c r="M137" s="14">
        <f>IF($A137="","",IF(COUNTIFS('Sessions'!$P$3:$P$202,N137)=0,"⚠ no Max hangs session row","ok"))</f>
        <v/>
      </c>
      <c r="N137" s="15">
        <f>IF($A137="","",$A137*10+1)</f>
        <v/>
      </c>
    </row>
    <row r="138">
      <c r="A138" s="11" t="n"/>
      <c r="K138" s="13" t="n"/>
      <c r="L138" s="15">
        <f>IF($A138="","",IF(B138&lt;&gt;"",B138,COUNTIFS($N$3:N138,N138)))</f>
        <v/>
      </c>
      <c r="M138" s="14">
        <f>IF($A138="","",IF(COUNTIFS('Sessions'!$P$3:$P$202,N138)=0,"⚠ no Max hangs session row","ok"))</f>
        <v/>
      </c>
      <c r="N138" s="15">
        <f>IF($A138="","",$A138*10+1)</f>
        <v/>
      </c>
    </row>
    <row r="139">
      <c r="A139" s="11" t="n"/>
      <c r="K139" s="13" t="n"/>
      <c r="L139" s="15">
        <f>IF($A139="","",IF(B139&lt;&gt;"",B139,COUNTIFS($N$3:N139,N139)))</f>
        <v/>
      </c>
      <c r="M139" s="14">
        <f>IF($A139="","",IF(COUNTIFS('Sessions'!$P$3:$P$202,N139)=0,"⚠ no Max hangs session row","ok"))</f>
        <v/>
      </c>
      <c r="N139" s="15">
        <f>IF($A139="","",$A139*10+1)</f>
        <v/>
      </c>
    </row>
    <row r="140">
      <c r="A140" s="11" t="n"/>
      <c r="K140" s="13" t="n"/>
      <c r="L140" s="15">
        <f>IF($A140="","",IF(B140&lt;&gt;"",B140,COUNTIFS($N$3:N140,N140)))</f>
        <v/>
      </c>
      <c r="M140" s="14">
        <f>IF($A140="","",IF(COUNTIFS('Sessions'!$P$3:$P$202,N140)=0,"⚠ no Max hangs session row","ok"))</f>
        <v/>
      </c>
      <c r="N140" s="15">
        <f>IF($A140="","",$A140*10+1)</f>
        <v/>
      </c>
    </row>
    <row r="141">
      <c r="A141" s="11" t="n"/>
      <c r="K141" s="13" t="n"/>
      <c r="L141" s="15">
        <f>IF($A141="","",IF(B141&lt;&gt;"",B141,COUNTIFS($N$3:N141,N141)))</f>
        <v/>
      </c>
      <c r="M141" s="14">
        <f>IF($A141="","",IF(COUNTIFS('Sessions'!$P$3:$P$202,N141)=0,"⚠ no Max hangs session row","ok"))</f>
        <v/>
      </c>
      <c r="N141" s="15">
        <f>IF($A141="","",$A141*10+1)</f>
        <v/>
      </c>
    </row>
    <row r="142">
      <c r="A142" s="11" t="n"/>
      <c r="K142" s="13" t="n"/>
      <c r="L142" s="15">
        <f>IF($A142="","",IF(B142&lt;&gt;"",B142,COUNTIFS($N$3:N142,N142)))</f>
        <v/>
      </c>
      <c r="M142" s="14">
        <f>IF($A142="","",IF(COUNTIFS('Sessions'!$P$3:$P$202,N142)=0,"⚠ no Max hangs session row","ok"))</f>
        <v/>
      </c>
      <c r="N142" s="15">
        <f>IF($A142="","",$A142*10+1)</f>
        <v/>
      </c>
    </row>
    <row r="143">
      <c r="A143" s="11" t="n"/>
      <c r="K143" s="13" t="n"/>
      <c r="L143" s="15">
        <f>IF($A143="","",IF(B143&lt;&gt;"",B143,COUNTIFS($N$3:N143,N143)))</f>
        <v/>
      </c>
      <c r="M143" s="14">
        <f>IF($A143="","",IF(COUNTIFS('Sessions'!$P$3:$P$202,N143)=0,"⚠ no Max hangs session row","ok"))</f>
        <v/>
      </c>
      <c r="N143" s="15">
        <f>IF($A143="","",$A143*10+1)</f>
        <v/>
      </c>
    </row>
    <row r="144">
      <c r="A144" s="11" t="n"/>
      <c r="K144" s="13" t="n"/>
      <c r="L144" s="15">
        <f>IF($A144="","",IF(B144&lt;&gt;"",B144,COUNTIFS($N$3:N144,N144)))</f>
        <v/>
      </c>
      <c r="M144" s="14">
        <f>IF($A144="","",IF(COUNTIFS('Sessions'!$P$3:$P$202,N144)=0,"⚠ no Max hangs session row","ok"))</f>
        <v/>
      </c>
      <c r="N144" s="15">
        <f>IF($A144="","",$A144*10+1)</f>
        <v/>
      </c>
    </row>
    <row r="145">
      <c r="A145" s="11" t="n"/>
      <c r="K145" s="13" t="n"/>
      <c r="L145" s="15">
        <f>IF($A145="","",IF(B145&lt;&gt;"",B145,COUNTIFS($N$3:N145,N145)))</f>
        <v/>
      </c>
      <c r="M145" s="14">
        <f>IF($A145="","",IF(COUNTIFS('Sessions'!$P$3:$P$202,N145)=0,"⚠ no Max hangs session row","ok"))</f>
        <v/>
      </c>
      <c r="N145" s="15">
        <f>IF($A145="","",$A145*10+1)</f>
        <v/>
      </c>
    </row>
    <row r="146">
      <c r="A146" s="11" t="n"/>
      <c r="K146" s="13" t="n"/>
      <c r="L146" s="15">
        <f>IF($A146="","",IF(B146&lt;&gt;"",B146,COUNTIFS($N$3:N146,N146)))</f>
        <v/>
      </c>
      <c r="M146" s="14">
        <f>IF($A146="","",IF(COUNTIFS('Sessions'!$P$3:$P$202,N146)=0,"⚠ no Max hangs session row","ok"))</f>
        <v/>
      </c>
      <c r="N146" s="15">
        <f>IF($A146="","",$A146*10+1)</f>
        <v/>
      </c>
    </row>
    <row r="147">
      <c r="A147" s="11" t="n"/>
      <c r="K147" s="13" t="n"/>
      <c r="L147" s="15">
        <f>IF($A147="","",IF(B147&lt;&gt;"",B147,COUNTIFS($N$3:N147,N147)))</f>
        <v/>
      </c>
      <c r="M147" s="14">
        <f>IF($A147="","",IF(COUNTIFS('Sessions'!$P$3:$P$202,N147)=0,"⚠ no Max hangs session row","ok"))</f>
        <v/>
      </c>
      <c r="N147" s="15">
        <f>IF($A147="","",$A147*10+1)</f>
        <v/>
      </c>
    </row>
    <row r="148">
      <c r="A148" s="11" t="n"/>
      <c r="K148" s="13" t="n"/>
      <c r="L148" s="15">
        <f>IF($A148="","",IF(B148&lt;&gt;"",B148,COUNTIFS($N$3:N148,N148)))</f>
        <v/>
      </c>
      <c r="M148" s="14">
        <f>IF($A148="","",IF(COUNTIFS('Sessions'!$P$3:$P$202,N148)=0,"⚠ no Max hangs session row","ok"))</f>
        <v/>
      </c>
      <c r="N148" s="15">
        <f>IF($A148="","",$A148*10+1)</f>
        <v/>
      </c>
    </row>
    <row r="149">
      <c r="A149" s="11" t="n"/>
      <c r="K149" s="13" t="n"/>
      <c r="L149" s="15">
        <f>IF($A149="","",IF(B149&lt;&gt;"",B149,COUNTIFS($N$3:N149,N149)))</f>
        <v/>
      </c>
      <c r="M149" s="14">
        <f>IF($A149="","",IF(COUNTIFS('Sessions'!$P$3:$P$202,N149)=0,"⚠ no Max hangs session row","ok"))</f>
        <v/>
      </c>
      <c r="N149" s="15">
        <f>IF($A149="","",$A149*10+1)</f>
        <v/>
      </c>
    </row>
    <row r="150">
      <c r="A150" s="11" t="n"/>
      <c r="K150" s="13" t="n"/>
      <c r="L150" s="15">
        <f>IF($A150="","",IF(B150&lt;&gt;"",B150,COUNTIFS($N$3:N150,N150)))</f>
        <v/>
      </c>
      <c r="M150" s="14">
        <f>IF($A150="","",IF(COUNTIFS('Sessions'!$P$3:$P$202,N150)=0,"⚠ no Max hangs session row","ok"))</f>
        <v/>
      </c>
      <c r="N150" s="15">
        <f>IF($A150="","",$A150*10+1)</f>
        <v/>
      </c>
    </row>
    <row r="151">
      <c r="A151" s="11" t="n"/>
      <c r="K151" s="13" t="n"/>
      <c r="L151" s="15">
        <f>IF($A151="","",IF(B151&lt;&gt;"",B151,COUNTIFS($N$3:N151,N151)))</f>
        <v/>
      </c>
      <c r="M151" s="14">
        <f>IF($A151="","",IF(COUNTIFS('Sessions'!$P$3:$P$202,N151)=0,"⚠ no Max hangs session row","ok"))</f>
        <v/>
      </c>
      <c r="N151" s="15">
        <f>IF($A151="","",$A151*10+1)</f>
        <v/>
      </c>
    </row>
    <row r="152">
      <c r="A152" s="11" t="n"/>
      <c r="K152" s="13" t="n"/>
      <c r="L152" s="15">
        <f>IF($A152="","",IF(B152&lt;&gt;"",B152,COUNTIFS($N$3:N152,N152)))</f>
        <v/>
      </c>
      <c r="M152" s="14">
        <f>IF($A152="","",IF(COUNTIFS('Sessions'!$P$3:$P$202,N152)=0,"⚠ no Max hangs session row","ok"))</f>
        <v/>
      </c>
      <c r="N152" s="15">
        <f>IF($A152="","",$A152*10+1)</f>
        <v/>
      </c>
    </row>
    <row r="153">
      <c r="A153" s="11" t="n"/>
      <c r="K153" s="13" t="n"/>
      <c r="L153" s="15">
        <f>IF($A153="","",IF(B153&lt;&gt;"",B153,COUNTIFS($N$3:N153,N153)))</f>
        <v/>
      </c>
      <c r="M153" s="14">
        <f>IF($A153="","",IF(COUNTIFS('Sessions'!$P$3:$P$202,N153)=0,"⚠ no Max hangs session row","ok"))</f>
        <v/>
      </c>
      <c r="N153" s="15">
        <f>IF($A153="","",$A153*10+1)</f>
        <v/>
      </c>
    </row>
    <row r="154">
      <c r="A154" s="11" t="n"/>
      <c r="K154" s="13" t="n"/>
      <c r="L154" s="15">
        <f>IF($A154="","",IF(B154&lt;&gt;"",B154,COUNTIFS($N$3:N154,N154)))</f>
        <v/>
      </c>
      <c r="M154" s="14">
        <f>IF($A154="","",IF(COUNTIFS('Sessions'!$P$3:$P$202,N154)=0,"⚠ no Max hangs session row","ok"))</f>
        <v/>
      </c>
      <c r="N154" s="15">
        <f>IF($A154="","",$A154*10+1)</f>
        <v/>
      </c>
    </row>
    <row r="155">
      <c r="A155" s="11" t="n"/>
      <c r="K155" s="13" t="n"/>
      <c r="L155" s="15">
        <f>IF($A155="","",IF(B155&lt;&gt;"",B155,COUNTIFS($N$3:N155,N155)))</f>
        <v/>
      </c>
      <c r="M155" s="14">
        <f>IF($A155="","",IF(COUNTIFS('Sessions'!$P$3:$P$202,N155)=0,"⚠ no Max hangs session row","ok"))</f>
        <v/>
      </c>
      <c r="N155" s="15">
        <f>IF($A155="","",$A155*10+1)</f>
        <v/>
      </c>
    </row>
    <row r="156">
      <c r="A156" s="11" t="n"/>
      <c r="K156" s="13" t="n"/>
      <c r="L156" s="15">
        <f>IF($A156="","",IF(B156&lt;&gt;"",B156,COUNTIFS($N$3:N156,N156)))</f>
        <v/>
      </c>
      <c r="M156" s="14">
        <f>IF($A156="","",IF(COUNTIFS('Sessions'!$P$3:$P$202,N156)=0,"⚠ no Max hangs session row","ok"))</f>
        <v/>
      </c>
      <c r="N156" s="15">
        <f>IF($A156="","",$A156*10+1)</f>
        <v/>
      </c>
    </row>
    <row r="157">
      <c r="A157" s="11" t="n"/>
      <c r="K157" s="13" t="n"/>
      <c r="L157" s="15">
        <f>IF($A157="","",IF(B157&lt;&gt;"",B157,COUNTIFS($N$3:N157,N157)))</f>
        <v/>
      </c>
      <c r="M157" s="14">
        <f>IF($A157="","",IF(COUNTIFS('Sessions'!$P$3:$P$202,N157)=0,"⚠ no Max hangs session row","ok"))</f>
        <v/>
      </c>
      <c r="N157" s="15">
        <f>IF($A157="","",$A157*10+1)</f>
        <v/>
      </c>
    </row>
    <row r="158">
      <c r="A158" s="11" t="n"/>
      <c r="K158" s="13" t="n"/>
      <c r="L158" s="15">
        <f>IF($A158="","",IF(B158&lt;&gt;"",B158,COUNTIFS($N$3:N158,N158)))</f>
        <v/>
      </c>
      <c r="M158" s="14">
        <f>IF($A158="","",IF(COUNTIFS('Sessions'!$P$3:$P$202,N158)=0,"⚠ no Max hangs session row","ok"))</f>
        <v/>
      </c>
      <c r="N158" s="15">
        <f>IF($A158="","",$A158*10+1)</f>
        <v/>
      </c>
    </row>
    <row r="159">
      <c r="A159" s="11" t="n"/>
      <c r="K159" s="13" t="n"/>
      <c r="L159" s="15">
        <f>IF($A159="","",IF(B159&lt;&gt;"",B159,COUNTIFS($N$3:N159,N159)))</f>
        <v/>
      </c>
      <c r="M159" s="14">
        <f>IF($A159="","",IF(COUNTIFS('Sessions'!$P$3:$P$202,N159)=0,"⚠ no Max hangs session row","ok"))</f>
        <v/>
      </c>
      <c r="N159" s="15">
        <f>IF($A159="","",$A159*10+1)</f>
        <v/>
      </c>
    </row>
    <row r="160">
      <c r="A160" s="11" t="n"/>
      <c r="K160" s="13" t="n"/>
      <c r="L160" s="15">
        <f>IF($A160="","",IF(B160&lt;&gt;"",B160,COUNTIFS($N$3:N160,N160)))</f>
        <v/>
      </c>
      <c r="M160" s="14">
        <f>IF($A160="","",IF(COUNTIFS('Sessions'!$P$3:$P$202,N160)=0,"⚠ no Max hangs session row","ok"))</f>
        <v/>
      </c>
      <c r="N160" s="15">
        <f>IF($A160="","",$A160*10+1)</f>
        <v/>
      </c>
    </row>
    <row r="161">
      <c r="A161" s="11" t="n"/>
      <c r="K161" s="13" t="n"/>
      <c r="L161" s="15">
        <f>IF($A161="","",IF(B161&lt;&gt;"",B161,COUNTIFS($N$3:N161,N161)))</f>
        <v/>
      </c>
      <c r="M161" s="14">
        <f>IF($A161="","",IF(COUNTIFS('Sessions'!$P$3:$P$202,N161)=0,"⚠ no Max hangs session row","ok"))</f>
        <v/>
      </c>
      <c r="N161" s="15">
        <f>IF($A161="","",$A161*10+1)</f>
        <v/>
      </c>
    </row>
    <row r="162">
      <c r="A162" s="11" t="n"/>
      <c r="K162" s="13" t="n"/>
      <c r="L162" s="15">
        <f>IF($A162="","",IF(B162&lt;&gt;"",B162,COUNTIFS($N$3:N162,N162)))</f>
        <v/>
      </c>
      <c r="M162" s="14">
        <f>IF($A162="","",IF(COUNTIFS('Sessions'!$P$3:$P$202,N162)=0,"⚠ no Max hangs session row","ok"))</f>
        <v/>
      </c>
      <c r="N162" s="15">
        <f>IF($A162="","",$A162*10+1)</f>
        <v/>
      </c>
    </row>
    <row r="163">
      <c r="A163" s="11" t="n"/>
      <c r="K163" s="13" t="n"/>
      <c r="L163" s="15">
        <f>IF($A163="","",IF(B163&lt;&gt;"",B163,COUNTIFS($N$3:N163,N163)))</f>
        <v/>
      </c>
      <c r="M163" s="14">
        <f>IF($A163="","",IF(COUNTIFS('Sessions'!$P$3:$P$202,N163)=0,"⚠ no Max hangs session row","ok"))</f>
        <v/>
      </c>
      <c r="N163" s="15">
        <f>IF($A163="","",$A163*10+1)</f>
        <v/>
      </c>
    </row>
    <row r="164">
      <c r="A164" s="11" t="n"/>
      <c r="K164" s="13" t="n"/>
      <c r="L164" s="15">
        <f>IF($A164="","",IF(B164&lt;&gt;"",B164,COUNTIFS($N$3:N164,N164)))</f>
        <v/>
      </c>
      <c r="M164" s="14">
        <f>IF($A164="","",IF(COUNTIFS('Sessions'!$P$3:$P$202,N164)=0,"⚠ no Max hangs session row","ok"))</f>
        <v/>
      </c>
      <c r="N164" s="15">
        <f>IF($A164="","",$A164*10+1)</f>
        <v/>
      </c>
    </row>
    <row r="165">
      <c r="A165" s="11" t="n"/>
      <c r="K165" s="13" t="n"/>
      <c r="L165" s="15">
        <f>IF($A165="","",IF(B165&lt;&gt;"",B165,COUNTIFS($N$3:N165,N165)))</f>
        <v/>
      </c>
      <c r="M165" s="14">
        <f>IF($A165="","",IF(COUNTIFS('Sessions'!$P$3:$P$202,N165)=0,"⚠ no Max hangs session row","ok"))</f>
        <v/>
      </c>
      <c r="N165" s="15">
        <f>IF($A165="","",$A165*10+1)</f>
        <v/>
      </c>
    </row>
    <row r="166">
      <c r="A166" s="11" t="n"/>
      <c r="K166" s="13" t="n"/>
      <c r="L166" s="15">
        <f>IF($A166="","",IF(B166&lt;&gt;"",B166,COUNTIFS($N$3:N166,N166)))</f>
        <v/>
      </c>
      <c r="M166" s="14">
        <f>IF($A166="","",IF(COUNTIFS('Sessions'!$P$3:$P$202,N166)=0,"⚠ no Max hangs session row","ok"))</f>
        <v/>
      </c>
      <c r="N166" s="15">
        <f>IF($A166="","",$A166*10+1)</f>
        <v/>
      </c>
    </row>
    <row r="167">
      <c r="A167" s="11" t="n"/>
      <c r="K167" s="13" t="n"/>
      <c r="L167" s="15">
        <f>IF($A167="","",IF(B167&lt;&gt;"",B167,COUNTIFS($N$3:N167,N167)))</f>
        <v/>
      </c>
      <c r="M167" s="14">
        <f>IF($A167="","",IF(COUNTIFS('Sessions'!$P$3:$P$202,N167)=0,"⚠ no Max hangs session row","ok"))</f>
        <v/>
      </c>
      <c r="N167" s="15">
        <f>IF($A167="","",$A167*10+1)</f>
        <v/>
      </c>
    </row>
    <row r="168">
      <c r="A168" s="11" t="n"/>
      <c r="K168" s="13" t="n"/>
      <c r="L168" s="15">
        <f>IF($A168="","",IF(B168&lt;&gt;"",B168,COUNTIFS($N$3:N168,N168)))</f>
        <v/>
      </c>
      <c r="M168" s="14">
        <f>IF($A168="","",IF(COUNTIFS('Sessions'!$P$3:$P$202,N168)=0,"⚠ no Max hangs session row","ok"))</f>
        <v/>
      </c>
      <c r="N168" s="15">
        <f>IF($A168="","",$A168*10+1)</f>
        <v/>
      </c>
    </row>
    <row r="169">
      <c r="A169" s="11" t="n"/>
      <c r="K169" s="13" t="n"/>
      <c r="L169" s="15">
        <f>IF($A169="","",IF(B169&lt;&gt;"",B169,COUNTIFS($N$3:N169,N169)))</f>
        <v/>
      </c>
      <c r="M169" s="14">
        <f>IF($A169="","",IF(COUNTIFS('Sessions'!$P$3:$P$202,N169)=0,"⚠ no Max hangs session row","ok"))</f>
        <v/>
      </c>
      <c r="N169" s="15">
        <f>IF($A169="","",$A169*10+1)</f>
        <v/>
      </c>
    </row>
    <row r="170">
      <c r="A170" s="11" t="n"/>
      <c r="K170" s="13" t="n"/>
      <c r="L170" s="15">
        <f>IF($A170="","",IF(B170&lt;&gt;"",B170,COUNTIFS($N$3:N170,N170)))</f>
        <v/>
      </c>
      <c r="M170" s="14">
        <f>IF($A170="","",IF(COUNTIFS('Sessions'!$P$3:$P$202,N170)=0,"⚠ no Max hangs session row","ok"))</f>
        <v/>
      </c>
      <c r="N170" s="15">
        <f>IF($A170="","",$A170*10+1)</f>
        <v/>
      </c>
    </row>
    <row r="171">
      <c r="A171" s="11" t="n"/>
      <c r="K171" s="13" t="n"/>
      <c r="L171" s="15">
        <f>IF($A171="","",IF(B171&lt;&gt;"",B171,COUNTIFS($N$3:N171,N171)))</f>
        <v/>
      </c>
      <c r="M171" s="14">
        <f>IF($A171="","",IF(COUNTIFS('Sessions'!$P$3:$P$202,N171)=0,"⚠ no Max hangs session row","ok"))</f>
        <v/>
      </c>
      <c r="N171" s="15">
        <f>IF($A171="","",$A171*10+1)</f>
        <v/>
      </c>
    </row>
    <row r="172">
      <c r="A172" s="11" t="n"/>
      <c r="K172" s="13" t="n"/>
      <c r="L172" s="15">
        <f>IF($A172="","",IF(B172&lt;&gt;"",B172,COUNTIFS($N$3:N172,N172)))</f>
        <v/>
      </c>
      <c r="M172" s="14">
        <f>IF($A172="","",IF(COUNTIFS('Sessions'!$P$3:$P$202,N172)=0,"⚠ no Max hangs session row","ok"))</f>
        <v/>
      </c>
      <c r="N172" s="15">
        <f>IF($A172="","",$A172*10+1)</f>
        <v/>
      </c>
    </row>
    <row r="173">
      <c r="A173" s="11" t="n"/>
      <c r="K173" s="13" t="n"/>
      <c r="L173" s="15">
        <f>IF($A173="","",IF(B173&lt;&gt;"",B173,COUNTIFS($N$3:N173,N173)))</f>
        <v/>
      </c>
      <c r="M173" s="14">
        <f>IF($A173="","",IF(COUNTIFS('Sessions'!$P$3:$P$202,N173)=0,"⚠ no Max hangs session row","ok"))</f>
        <v/>
      </c>
      <c r="N173" s="15">
        <f>IF($A173="","",$A173*10+1)</f>
        <v/>
      </c>
    </row>
    <row r="174">
      <c r="A174" s="11" t="n"/>
      <c r="K174" s="13" t="n"/>
      <c r="L174" s="15">
        <f>IF($A174="","",IF(B174&lt;&gt;"",B174,COUNTIFS($N$3:N174,N174)))</f>
        <v/>
      </c>
      <c r="M174" s="14">
        <f>IF($A174="","",IF(COUNTIFS('Sessions'!$P$3:$P$202,N174)=0,"⚠ no Max hangs session row","ok"))</f>
        <v/>
      </c>
      <c r="N174" s="15">
        <f>IF($A174="","",$A174*10+1)</f>
        <v/>
      </c>
    </row>
    <row r="175">
      <c r="A175" s="11" t="n"/>
      <c r="K175" s="13" t="n"/>
      <c r="L175" s="15">
        <f>IF($A175="","",IF(B175&lt;&gt;"",B175,COUNTIFS($N$3:N175,N175)))</f>
        <v/>
      </c>
      <c r="M175" s="14">
        <f>IF($A175="","",IF(COUNTIFS('Sessions'!$P$3:$P$202,N175)=0,"⚠ no Max hangs session row","ok"))</f>
        <v/>
      </c>
      <c r="N175" s="15">
        <f>IF($A175="","",$A175*10+1)</f>
        <v/>
      </c>
    </row>
    <row r="176">
      <c r="A176" s="11" t="n"/>
      <c r="K176" s="13" t="n"/>
      <c r="L176" s="15">
        <f>IF($A176="","",IF(B176&lt;&gt;"",B176,COUNTIFS($N$3:N176,N176)))</f>
        <v/>
      </c>
      <c r="M176" s="14">
        <f>IF($A176="","",IF(COUNTIFS('Sessions'!$P$3:$P$202,N176)=0,"⚠ no Max hangs session row","ok"))</f>
        <v/>
      </c>
      <c r="N176" s="15">
        <f>IF($A176="","",$A176*10+1)</f>
        <v/>
      </c>
    </row>
    <row r="177">
      <c r="A177" s="11" t="n"/>
      <c r="K177" s="13" t="n"/>
      <c r="L177" s="15">
        <f>IF($A177="","",IF(B177&lt;&gt;"",B177,COUNTIFS($N$3:N177,N177)))</f>
        <v/>
      </c>
      <c r="M177" s="14">
        <f>IF($A177="","",IF(COUNTIFS('Sessions'!$P$3:$P$202,N177)=0,"⚠ no Max hangs session row","ok"))</f>
        <v/>
      </c>
      <c r="N177" s="15">
        <f>IF($A177="","",$A177*10+1)</f>
        <v/>
      </c>
    </row>
    <row r="178">
      <c r="A178" s="11" t="n"/>
      <c r="K178" s="13" t="n"/>
      <c r="L178" s="15">
        <f>IF($A178="","",IF(B178&lt;&gt;"",B178,COUNTIFS($N$3:N178,N178)))</f>
        <v/>
      </c>
      <c r="M178" s="14">
        <f>IF($A178="","",IF(COUNTIFS('Sessions'!$P$3:$P$202,N178)=0,"⚠ no Max hangs session row","ok"))</f>
        <v/>
      </c>
      <c r="N178" s="15">
        <f>IF($A178="","",$A178*10+1)</f>
        <v/>
      </c>
    </row>
    <row r="179">
      <c r="A179" s="11" t="n"/>
      <c r="K179" s="13" t="n"/>
      <c r="L179" s="15">
        <f>IF($A179="","",IF(B179&lt;&gt;"",B179,COUNTIFS($N$3:N179,N179)))</f>
        <v/>
      </c>
      <c r="M179" s="14">
        <f>IF($A179="","",IF(COUNTIFS('Sessions'!$P$3:$P$202,N179)=0,"⚠ no Max hangs session row","ok"))</f>
        <v/>
      </c>
      <c r="N179" s="15">
        <f>IF($A179="","",$A179*10+1)</f>
        <v/>
      </c>
    </row>
    <row r="180">
      <c r="A180" s="11" t="n"/>
      <c r="K180" s="13" t="n"/>
      <c r="L180" s="15">
        <f>IF($A180="","",IF(B180&lt;&gt;"",B180,COUNTIFS($N$3:N180,N180)))</f>
        <v/>
      </c>
      <c r="M180" s="14">
        <f>IF($A180="","",IF(COUNTIFS('Sessions'!$P$3:$P$202,N180)=0,"⚠ no Max hangs session row","ok"))</f>
        <v/>
      </c>
      <c r="N180" s="15">
        <f>IF($A180="","",$A180*10+1)</f>
        <v/>
      </c>
    </row>
    <row r="181">
      <c r="A181" s="11" t="n"/>
      <c r="K181" s="13" t="n"/>
      <c r="L181" s="15">
        <f>IF($A181="","",IF(B181&lt;&gt;"",B181,COUNTIFS($N$3:N181,N181)))</f>
        <v/>
      </c>
      <c r="M181" s="14">
        <f>IF($A181="","",IF(COUNTIFS('Sessions'!$P$3:$P$202,N181)=0,"⚠ no Max hangs session row","ok"))</f>
        <v/>
      </c>
      <c r="N181" s="15">
        <f>IF($A181="","",$A181*10+1)</f>
        <v/>
      </c>
    </row>
    <row r="182">
      <c r="A182" s="11" t="n"/>
      <c r="K182" s="13" t="n"/>
      <c r="L182" s="15">
        <f>IF($A182="","",IF(B182&lt;&gt;"",B182,COUNTIFS($N$3:N182,N182)))</f>
        <v/>
      </c>
      <c r="M182" s="14">
        <f>IF($A182="","",IF(COUNTIFS('Sessions'!$P$3:$P$202,N182)=0,"⚠ no Max hangs session row","ok"))</f>
        <v/>
      </c>
      <c r="N182" s="15">
        <f>IF($A182="","",$A182*10+1)</f>
        <v/>
      </c>
    </row>
    <row r="183">
      <c r="A183" s="11" t="n"/>
      <c r="K183" s="13" t="n"/>
      <c r="L183" s="15">
        <f>IF($A183="","",IF(B183&lt;&gt;"",B183,COUNTIFS($N$3:N183,N183)))</f>
        <v/>
      </c>
      <c r="M183" s="14">
        <f>IF($A183="","",IF(COUNTIFS('Sessions'!$P$3:$P$202,N183)=0,"⚠ no Max hangs session row","ok"))</f>
        <v/>
      </c>
      <c r="N183" s="15">
        <f>IF($A183="","",$A183*10+1)</f>
        <v/>
      </c>
    </row>
    <row r="184">
      <c r="A184" s="11" t="n"/>
      <c r="K184" s="13" t="n"/>
      <c r="L184" s="15">
        <f>IF($A184="","",IF(B184&lt;&gt;"",B184,COUNTIFS($N$3:N184,N184)))</f>
        <v/>
      </c>
      <c r="M184" s="14">
        <f>IF($A184="","",IF(COUNTIFS('Sessions'!$P$3:$P$202,N184)=0,"⚠ no Max hangs session row","ok"))</f>
        <v/>
      </c>
      <c r="N184" s="15">
        <f>IF($A184="","",$A184*10+1)</f>
        <v/>
      </c>
    </row>
    <row r="185">
      <c r="A185" s="11" t="n"/>
      <c r="K185" s="13" t="n"/>
      <c r="L185" s="15">
        <f>IF($A185="","",IF(B185&lt;&gt;"",B185,COUNTIFS($N$3:N185,N185)))</f>
        <v/>
      </c>
      <c r="M185" s="14">
        <f>IF($A185="","",IF(COUNTIFS('Sessions'!$P$3:$P$202,N185)=0,"⚠ no Max hangs session row","ok"))</f>
        <v/>
      </c>
      <c r="N185" s="15">
        <f>IF($A185="","",$A185*10+1)</f>
        <v/>
      </c>
    </row>
    <row r="186">
      <c r="A186" s="11" t="n"/>
      <c r="K186" s="13" t="n"/>
      <c r="L186" s="15">
        <f>IF($A186="","",IF(B186&lt;&gt;"",B186,COUNTIFS($N$3:N186,N186)))</f>
        <v/>
      </c>
      <c r="M186" s="14">
        <f>IF($A186="","",IF(COUNTIFS('Sessions'!$P$3:$P$202,N186)=0,"⚠ no Max hangs session row","ok"))</f>
        <v/>
      </c>
      <c r="N186" s="15">
        <f>IF($A186="","",$A186*10+1)</f>
        <v/>
      </c>
    </row>
    <row r="187">
      <c r="A187" s="11" t="n"/>
      <c r="K187" s="13" t="n"/>
      <c r="L187" s="15">
        <f>IF($A187="","",IF(B187&lt;&gt;"",B187,COUNTIFS($N$3:N187,N187)))</f>
        <v/>
      </c>
      <c r="M187" s="14">
        <f>IF($A187="","",IF(COUNTIFS('Sessions'!$P$3:$P$202,N187)=0,"⚠ no Max hangs session row","ok"))</f>
        <v/>
      </c>
      <c r="N187" s="15">
        <f>IF($A187="","",$A187*10+1)</f>
        <v/>
      </c>
    </row>
    <row r="188">
      <c r="A188" s="11" t="n"/>
      <c r="K188" s="13" t="n"/>
      <c r="L188" s="15">
        <f>IF($A188="","",IF(B188&lt;&gt;"",B188,COUNTIFS($N$3:N188,N188)))</f>
        <v/>
      </c>
      <c r="M188" s="14">
        <f>IF($A188="","",IF(COUNTIFS('Sessions'!$P$3:$P$202,N188)=0,"⚠ no Max hangs session row","ok"))</f>
        <v/>
      </c>
      <c r="N188" s="15">
        <f>IF($A188="","",$A188*10+1)</f>
        <v/>
      </c>
    </row>
    <row r="189">
      <c r="A189" s="11" t="n"/>
      <c r="K189" s="13" t="n"/>
      <c r="L189" s="15">
        <f>IF($A189="","",IF(B189&lt;&gt;"",B189,COUNTIFS($N$3:N189,N189)))</f>
        <v/>
      </c>
      <c r="M189" s="14">
        <f>IF($A189="","",IF(COUNTIFS('Sessions'!$P$3:$P$202,N189)=0,"⚠ no Max hangs session row","ok"))</f>
        <v/>
      </c>
      <c r="N189" s="15">
        <f>IF($A189="","",$A189*10+1)</f>
        <v/>
      </c>
    </row>
    <row r="190">
      <c r="A190" s="11" t="n"/>
      <c r="K190" s="13" t="n"/>
      <c r="L190" s="15">
        <f>IF($A190="","",IF(B190&lt;&gt;"",B190,COUNTIFS($N$3:N190,N190)))</f>
        <v/>
      </c>
      <c r="M190" s="14">
        <f>IF($A190="","",IF(COUNTIFS('Sessions'!$P$3:$P$202,N190)=0,"⚠ no Max hangs session row","ok"))</f>
        <v/>
      </c>
      <c r="N190" s="15">
        <f>IF($A190="","",$A190*10+1)</f>
        <v/>
      </c>
    </row>
    <row r="191">
      <c r="A191" s="11" t="n"/>
      <c r="K191" s="13" t="n"/>
      <c r="L191" s="15">
        <f>IF($A191="","",IF(B191&lt;&gt;"",B191,COUNTIFS($N$3:N191,N191)))</f>
        <v/>
      </c>
      <c r="M191" s="14">
        <f>IF($A191="","",IF(COUNTIFS('Sessions'!$P$3:$P$202,N191)=0,"⚠ no Max hangs session row","ok"))</f>
        <v/>
      </c>
      <c r="N191" s="15">
        <f>IF($A191="","",$A191*10+1)</f>
        <v/>
      </c>
    </row>
    <row r="192">
      <c r="A192" s="11" t="n"/>
      <c r="K192" s="13" t="n"/>
      <c r="L192" s="15">
        <f>IF($A192="","",IF(B192&lt;&gt;"",B192,COUNTIFS($N$3:N192,N192)))</f>
        <v/>
      </c>
      <c r="M192" s="14">
        <f>IF($A192="","",IF(COUNTIFS('Sessions'!$P$3:$P$202,N192)=0,"⚠ no Max hangs session row","ok"))</f>
        <v/>
      </c>
      <c r="N192" s="15">
        <f>IF($A192="","",$A192*10+1)</f>
        <v/>
      </c>
    </row>
    <row r="193">
      <c r="A193" s="11" t="n"/>
      <c r="K193" s="13" t="n"/>
      <c r="L193" s="15">
        <f>IF($A193="","",IF(B193&lt;&gt;"",B193,COUNTIFS($N$3:N193,N193)))</f>
        <v/>
      </c>
      <c r="M193" s="14">
        <f>IF($A193="","",IF(COUNTIFS('Sessions'!$P$3:$P$202,N193)=0,"⚠ no Max hangs session row","ok"))</f>
        <v/>
      </c>
      <c r="N193" s="15">
        <f>IF($A193="","",$A193*10+1)</f>
        <v/>
      </c>
    </row>
    <row r="194">
      <c r="A194" s="11" t="n"/>
      <c r="K194" s="13" t="n"/>
      <c r="L194" s="15">
        <f>IF($A194="","",IF(B194&lt;&gt;"",B194,COUNTIFS($N$3:N194,N194)))</f>
        <v/>
      </c>
      <c r="M194" s="14">
        <f>IF($A194="","",IF(COUNTIFS('Sessions'!$P$3:$P$202,N194)=0,"⚠ no Max hangs session row","ok"))</f>
        <v/>
      </c>
      <c r="N194" s="15">
        <f>IF($A194="","",$A194*10+1)</f>
        <v/>
      </c>
    </row>
    <row r="195">
      <c r="A195" s="11" t="n"/>
      <c r="K195" s="13" t="n"/>
      <c r="L195" s="15">
        <f>IF($A195="","",IF(B195&lt;&gt;"",B195,COUNTIFS($N$3:N195,N195)))</f>
        <v/>
      </c>
      <c r="M195" s="14">
        <f>IF($A195="","",IF(COUNTIFS('Sessions'!$P$3:$P$202,N195)=0,"⚠ no Max hangs session row","ok"))</f>
        <v/>
      </c>
      <c r="N195" s="15">
        <f>IF($A195="","",$A195*10+1)</f>
        <v/>
      </c>
    </row>
    <row r="196">
      <c r="A196" s="11" t="n"/>
      <c r="K196" s="13" t="n"/>
      <c r="L196" s="15">
        <f>IF($A196="","",IF(B196&lt;&gt;"",B196,COUNTIFS($N$3:N196,N196)))</f>
        <v/>
      </c>
      <c r="M196" s="14">
        <f>IF($A196="","",IF(COUNTIFS('Sessions'!$P$3:$P$202,N196)=0,"⚠ no Max hangs session row","ok"))</f>
        <v/>
      </c>
      <c r="N196" s="15">
        <f>IF($A196="","",$A196*10+1)</f>
        <v/>
      </c>
    </row>
    <row r="197">
      <c r="A197" s="11" t="n"/>
      <c r="K197" s="13" t="n"/>
      <c r="L197" s="15">
        <f>IF($A197="","",IF(B197&lt;&gt;"",B197,COUNTIFS($N$3:N197,N197)))</f>
        <v/>
      </c>
      <c r="M197" s="14">
        <f>IF($A197="","",IF(COUNTIFS('Sessions'!$P$3:$P$202,N197)=0,"⚠ no Max hangs session row","ok"))</f>
        <v/>
      </c>
      <c r="N197" s="15">
        <f>IF($A197="","",$A197*10+1)</f>
        <v/>
      </c>
    </row>
    <row r="198">
      <c r="A198" s="11" t="n"/>
      <c r="K198" s="13" t="n"/>
      <c r="L198" s="15">
        <f>IF($A198="","",IF(B198&lt;&gt;"",B198,COUNTIFS($N$3:N198,N198)))</f>
        <v/>
      </c>
      <c r="M198" s="14">
        <f>IF($A198="","",IF(COUNTIFS('Sessions'!$P$3:$P$202,N198)=0,"⚠ no Max hangs session row","ok"))</f>
        <v/>
      </c>
      <c r="N198" s="15">
        <f>IF($A198="","",$A198*10+1)</f>
        <v/>
      </c>
    </row>
    <row r="199">
      <c r="A199" s="11" t="n"/>
      <c r="K199" s="13" t="n"/>
      <c r="L199" s="15">
        <f>IF($A199="","",IF(B199&lt;&gt;"",B199,COUNTIFS($N$3:N199,N199)))</f>
        <v/>
      </c>
      <c r="M199" s="14">
        <f>IF($A199="","",IF(COUNTIFS('Sessions'!$P$3:$P$202,N199)=0,"⚠ no Max hangs session row","ok"))</f>
        <v/>
      </c>
      <c r="N199" s="15">
        <f>IF($A199="","",$A199*10+1)</f>
        <v/>
      </c>
    </row>
    <row r="200">
      <c r="A200" s="11" t="n"/>
      <c r="K200" s="13" t="n"/>
      <c r="L200" s="15">
        <f>IF($A200="","",IF(B200&lt;&gt;"",B200,COUNTIFS($N$3:N200,N200)))</f>
        <v/>
      </c>
      <c r="M200" s="14">
        <f>IF($A200="","",IF(COUNTIFS('Sessions'!$P$3:$P$202,N200)=0,"⚠ no Max hangs session row","ok"))</f>
        <v/>
      </c>
      <c r="N200" s="15">
        <f>IF($A200="","",$A200*10+1)</f>
        <v/>
      </c>
    </row>
    <row r="201">
      <c r="A201" s="11" t="n"/>
      <c r="K201" s="13" t="n"/>
      <c r="L201" s="15">
        <f>IF($A201="","",IF(B201&lt;&gt;"",B201,COUNTIFS($N$3:N201,N201)))</f>
        <v/>
      </c>
      <c r="M201" s="14">
        <f>IF($A201="","",IF(COUNTIFS('Sessions'!$P$3:$P$202,N201)=0,"⚠ no Max hangs session row","ok"))</f>
        <v/>
      </c>
      <c r="N201" s="15">
        <f>IF($A201="","",$A201*10+1)</f>
        <v/>
      </c>
    </row>
    <row r="202">
      <c r="A202" s="11" t="n"/>
      <c r="K202" s="13" t="n"/>
      <c r="L202" s="15">
        <f>IF($A202="","",IF(B202&lt;&gt;"",B202,COUNTIFS($N$3:N202,N202)))</f>
        <v/>
      </c>
      <c r="M202" s="14">
        <f>IF($A202="","",IF(COUNTIFS('Sessions'!$P$3:$P$202,N202)=0,"⚠ no Max hangs session row","ok"))</f>
        <v/>
      </c>
      <c r="N202" s="15">
        <f>IF($A202="","",$A202*10+1)</f>
        <v/>
      </c>
    </row>
  </sheetData>
  <conditionalFormatting sqref="L3:L202">
    <cfRule type="cellIs" priority="1" operator="equal" dxfId="0">
      <formula>"LOW"</formula>
    </cfRule>
    <cfRule type="cellIs" priority="2" operator="equal" dxfId="1">
      <formula>"WATCH"</formula>
    </cfRule>
    <cfRule type="cellIs" priority="3" operator="equal" dxfId="2">
      <formula>"GOOD"</formula>
    </cfRule>
  </conditionalFormatting>
  <conditionalFormatting sqref="M3:M202">
    <cfRule type="cellIs" priority="4" operator="equal" dxfId="0">
      <formula>"LOW"</formula>
    </cfRule>
    <cfRule type="cellIs" priority="5" operator="equal" dxfId="1">
      <formula>"WATCH"</formula>
    </cfRule>
    <cfRule type="cellIs" priority="6" operator="equal" dxfId="2">
      <formula>"GOOD"</formula>
    </cfRule>
  </conditionalFormatting>
  <conditionalFormatting sqref="N3:N202">
    <cfRule type="cellIs" priority="7" operator="equal" dxfId="0">
      <formula>"LOW"</formula>
    </cfRule>
    <cfRule type="cellIs" priority="8" operator="equal" dxfId="1">
      <formula>"WATCH"</formula>
    </cfRule>
    <cfRule type="cellIs" priority="9" operator="equal" dxfId="2">
      <formula>"GOOD"</formula>
    </cfRule>
  </conditionalFormatting>
  <dataValidations count="10">
    <dataValidation sqref="A3:A202" showDropDown="0" showInputMessage="0" showErrorMessage="1" allowBlank="0" errorTitle="climblog" error="Value outside the allowed range/choices" type="date" operator="greaterThan">
      <formula1>DATE(2020,1,1)</formula1>
    </dataValidation>
    <dataValidation sqref="B3:B202" showDropDown="0" showInputMessage="0" showErrorMessage="1" allowBlank="0" errorTitle="climblog" error="Value outside the allowed range/choices" type="whole" operator="between">
      <formula1>1</formula1>
      <formula2>50</formula2>
    </dataValidation>
    <dataValidation sqref="C3:C202" showDropDown="0" showInputMessage="0" showErrorMessage="1" allowBlank="0" errorTitle="climblog" error="Value outside the allowed range/choices" type="decimal" operator="between">
      <formula1>5</formula1>
      <formula2>40</formula2>
    </dataValidation>
    <dataValidation sqref="D3:D202" showDropDown="0" showInputMessage="0" showErrorMessage="1" allowBlank="0" errorTitle="climblog" error="Value outside the allowed range/choices" type="list">
      <formula1>"Half crimp,Open hand,Full crimp,Three-finger drag"</formula1>
    </dataValidation>
    <dataValidation sqref="E3:E202" showDropDown="0" showInputMessage="0" showErrorMessage="1" allowBlank="0" errorTitle="climblog" error="Value outside the allowed range/choices" type="list">
      <formula1>"Two arms,One arm"</formula1>
    </dataValidation>
    <dataValidation sqref="F3:F202" showDropDown="0" showInputMessage="0" showErrorMessage="1" allowBlank="0" errorTitle="climblog" error="Value outside the allowed range/choices" type="decimal" operator="between">
      <formula1>1</formula1>
      <formula2>60</formula2>
    </dataValidation>
    <dataValidation sqref="G3:G202" showDropDown="0" showInputMessage="0" showErrorMessage="1" allowBlank="0" errorTitle="climblog" error="Value outside the allowed range/choices" type="decimal" operator="between">
      <formula1>-80</formula1>
      <formula2>150</formula2>
    </dataValidation>
    <dataValidation sqref="H3:H202" showDropDown="0" showInputMessage="0" showErrorMessage="1" allowBlank="0" errorTitle="climblog" error="Value outside the allowed range/choices" type="decimal" operator="between">
      <formula1>0</formula1>
      <formula2>1200</formula2>
    </dataValidation>
    <dataValidation sqref="I3:I202" showDropDown="0" showInputMessage="0" showErrorMessage="1" allowBlank="0" errorTitle="climblog" error="Value outside the allowed range/choices" type="list">
      <formula1>"1,2,3,4,5,6,7,8,9,10"</formula1>
    </dataValidation>
    <dataValidation sqref="J3:J202" showDropDown="0" showInputMessage="0" showErrorMessage="1" allowBlank="0" errorTitle="climblog" error="Value outside the allowed range/choices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7" customWidth="1" min="4" max="4"/>
    <col width="9" customWidth="1" min="5" max="5"/>
    <col width="7" customWidth="1" min="6" max="6"/>
    <col width="7" customWidth="1" min="7" max="7"/>
    <col width="7" customWidth="1" min="8" max="8"/>
    <col width="10" customWidth="1" min="9" max="9"/>
    <col width="32" customWidth="1" min="10" max="10"/>
    <col width="7" customWidth="1" min="11" max="11"/>
    <col width="9" customWidth="1" min="12" max="12"/>
    <col width="9" customWidth="1" min="13" max="13"/>
    <col width="8" customWidth="1" min="14" max="14"/>
    <col width="17" customWidth="1" min="15" max="15"/>
    <col hidden="1" width="10" customWidth="1" min="16" max="16"/>
    <col width="12" customWidth="1" min="17" max="17"/>
    <col width="8" customWidth="1" min="18" max="18"/>
  </cols>
  <sheetData>
    <row r="1" ht="48" customHeight="1">
      <c r="A1" s="1" t="inlineStr">
        <is>
          <t>Date</t>
        </is>
      </c>
      <c r="B1" s="1" t="inlineStr">
        <is>
          <t>Set #
(blank = next)</t>
        </is>
      </c>
      <c r="C1" s="18" t="inlineStr">
        <is>
          <t>Block left
(kg)</t>
        </is>
      </c>
      <c r="D1" s="18" t="inlineStr">
        <is>
          <t>Reps
left</t>
        </is>
      </c>
      <c r="E1" s="18" t="inlineStr">
        <is>
          <t>Block right
(kg)</t>
        </is>
      </c>
      <c r="F1" s="18" t="inlineStr">
        <is>
          <t>Reps
right</t>
        </is>
      </c>
      <c r="G1" s="16" t="inlineStr">
        <is>
          <t>Rest
(s)</t>
        </is>
      </c>
      <c r="H1" s="16" t="inlineStr">
        <is>
          <t>RPE
(1–10)</t>
        </is>
      </c>
      <c r="I1" s="16" t="inlineStr">
        <is>
          <t>Completed?</t>
        </is>
      </c>
      <c r="J1" s="16" t="inlineStr">
        <is>
          <t>Note</t>
        </is>
      </c>
      <c r="K1" s="4" t="inlineStr">
        <is>
          <t>Set #
(auto)</t>
        </is>
      </c>
      <c r="L1" s="4" t="inlineStr">
        <is>
          <t>Est. 1RM
left</t>
        </is>
      </c>
      <c r="M1" s="4" t="inlineStr">
        <is>
          <t>Est. 1RM
right</t>
        </is>
      </c>
      <c r="N1" s="4" t="inlineStr">
        <is>
          <t>Volume
kg</t>
        </is>
      </c>
      <c r="O1" s="4" t="inlineStr">
        <is>
          <t>Session check</t>
        </is>
      </c>
      <c r="P1" s="4" t="inlineStr">
        <is>
          <t>key (auto, hidden)</t>
        </is>
      </c>
      <c r="Q1" s="5" t="inlineStr">
        <is>
          <t>updated_at
(app fills)</t>
        </is>
      </c>
      <c r="R1" s="5" t="inlineStr">
        <is>
          <t>deleted
(app fills)</t>
        </is>
      </c>
    </row>
    <row r="2" ht="18" customHeight="1">
      <c r="A2" s="6" t="inlineStr">
        <is>
          <t>date</t>
        </is>
      </c>
      <c r="B2" s="6" t="inlineStr">
        <is>
          <t>set_no</t>
        </is>
      </c>
      <c r="C2" s="19" t="inlineStr">
        <is>
          <t>load_left_kg</t>
        </is>
      </c>
      <c r="D2" s="19" t="inlineStr">
        <is>
          <t>reps_left</t>
        </is>
      </c>
      <c r="E2" s="19" t="inlineStr">
        <is>
          <t>load_right_kg</t>
        </is>
      </c>
      <c r="F2" s="19" t="inlineStr">
        <is>
          <t>reps_right</t>
        </is>
      </c>
      <c r="G2" s="17" t="inlineStr">
        <is>
          <t>rest_s</t>
        </is>
      </c>
      <c r="H2" s="17" t="inlineStr">
        <is>
          <t>rpe</t>
        </is>
      </c>
      <c r="I2" s="17" t="inlineStr">
        <is>
          <t>completed</t>
        </is>
      </c>
      <c r="J2" s="17" t="inlineStr">
        <is>
          <t>note</t>
        </is>
      </c>
      <c r="K2" s="9" t="inlineStr">
        <is>
          <t>auto:set_no</t>
        </is>
      </c>
      <c r="L2" s="9" t="inlineStr">
        <is>
          <t>auto:est_1rm_left</t>
        </is>
      </c>
      <c r="M2" s="9" t="inlineStr">
        <is>
          <t>auto:est_1rm_right</t>
        </is>
      </c>
      <c r="N2" s="9" t="inlineStr">
        <is>
          <t>auto:volume_kg</t>
        </is>
      </c>
      <c r="O2" s="9" t="inlineStr">
        <is>
          <t>auto:session_check</t>
        </is>
      </c>
      <c r="P2" s="9" t="inlineStr">
        <is>
          <t>auto:_key</t>
        </is>
      </c>
      <c r="Q2" s="10" t="inlineStr">
        <is>
          <t>updated_at</t>
        </is>
      </c>
      <c r="R2" s="10" t="inlineStr">
        <is>
          <t>deleted</t>
        </is>
      </c>
    </row>
    <row r="3">
      <c r="A3" s="11" t="n">
        <v>46311</v>
      </c>
      <c r="B3" t="n">
        <v>1</v>
      </c>
      <c r="C3" t="n">
        <v>30</v>
      </c>
      <c r="D3" t="n">
        <v>8</v>
      </c>
      <c r="E3" t="n">
        <v>32.5</v>
      </c>
      <c r="F3" t="n">
        <v>8</v>
      </c>
      <c r="G3" t="n">
        <v>120</v>
      </c>
      <c r="H3" t="n">
        <v>7</v>
      </c>
      <c r="I3" t="inlineStr">
        <is>
          <t>Yes</t>
        </is>
      </c>
      <c r="J3" s="13" t="n"/>
      <c r="K3" s="15">
        <f>IF($A3="","",IF(B3&lt;&gt;"",B3,COUNTIFS($P$3:P3,P3)))</f>
        <v/>
      </c>
      <c r="L3" s="14">
        <f>IF(COUNT(C3,D3)&lt;2,"",ROUND(C3*(1+D3/30),1))</f>
        <v/>
      </c>
      <c r="M3" s="14">
        <f>IF(COUNT(E3,F3)&lt;2,"",ROUND(E3*(1+F3/30),1))</f>
        <v/>
      </c>
      <c r="N3" s="14">
        <f>IF(COUNT(C3:F3)=0,"",IF(COUNT(C3,D3)=2,C3*D3,0)+IF(COUNT(E3,F3)=2,E3*F3,0))</f>
        <v/>
      </c>
      <c r="O3" s="14">
        <f>IF($A3="","",IF(COUNTIFS('Sessions'!$P$3:$P$202,P3)=0,"⚠ no Finger curls session row","ok"))</f>
        <v/>
      </c>
      <c r="P3" s="15">
        <f>IF($A3="","",$A3*10+2)</f>
        <v/>
      </c>
    </row>
    <row r="4">
      <c r="A4" s="11" t="n">
        <v>46311</v>
      </c>
      <c r="B4" t="n">
        <v>2</v>
      </c>
      <c r="C4" t="n">
        <v>32.5</v>
      </c>
      <c r="D4" t="n">
        <v>6</v>
      </c>
      <c r="E4" t="n">
        <v>35</v>
      </c>
      <c r="F4" t="n">
        <v>6</v>
      </c>
      <c r="G4" t="n">
        <v>120</v>
      </c>
      <c r="H4" t="n">
        <v>8</v>
      </c>
      <c r="I4" t="inlineStr">
        <is>
          <t>Yes</t>
        </is>
      </c>
      <c r="J4" s="13" t="n"/>
      <c r="K4" s="15">
        <f>IF($A4="","",IF(B4&lt;&gt;"",B4,COUNTIFS($P$3:P4,P4)))</f>
        <v/>
      </c>
      <c r="L4" s="14">
        <f>IF(COUNT(C4,D4)&lt;2,"",ROUND(C4*(1+D4/30),1))</f>
        <v/>
      </c>
      <c r="M4" s="14">
        <f>IF(COUNT(E4,F4)&lt;2,"",ROUND(E4*(1+F4/30),1))</f>
        <v/>
      </c>
      <c r="N4" s="14">
        <f>IF(COUNT(C4:F4)=0,"",IF(COUNT(C4,D4)=2,C4*D4,0)+IF(COUNT(E4,F4)=2,E4*F4,0))</f>
        <v/>
      </c>
      <c r="O4" s="14">
        <f>IF($A4="","",IF(COUNTIFS('Sessions'!$P$3:$P$202,P4)=0,"⚠ no Finger curls session row","ok"))</f>
        <v/>
      </c>
      <c r="P4" s="15">
        <f>IF($A4="","",$A4*10+2)</f>
        <v/>
      </c>
    </row>
    <row r="5">
      <c r="A5" s="11" t="n">
        <v>46311</v>
      </c>
      <c r="B5" t="n">
        <v>3</v>
      </c>
      <c r="C5" t="n">
        <v>32.5</v>
      </c>
      <c r="D5" t="n">
        <v>5</v>
      </c>
      <c r="E5" t="n">
        <v>35</v>
      </c>
      <c r="F5" t="n">
        <v>6</v>
      </c>
      <c r="G5" t="n">
        <v>120</v>
      </c>
      <c r="H5" t="n">
        <v>9</v>
      </c>
      <c r="I5" t="inlineStr">
        <is>
          <t>Yes</t>
        </is>
      </c>
      <c r="J5" s="13" t="n"/>
      <c r="K5" s="15">
        <f>IF($A5="","",IF(B5&lt;&gt;"",B5,COUNTIFS($P$3:P5,P5)))</f>
        <v/>
      </c>
      <c r="L5" s="14">
        <f>IF(COUNT(C5,D5)&lt;2,"",ROUND(C5*(1+D5/30),1))</f>
        <v/>
      </c>
      <c r="M5" s="14">
        <f>IF(COUNT(E5,F5)&lt;2,"",ROUND(E5*(1+F5/30),1))</f>
        <v/>
      </c>
      <c r="N5" s="14">
        <f>IF(COUNT(C5:F5)=0,"",IF(COUNT(C5,D5)=2,C5*D5,0)+IF(COUNT(E5,F5)=2,E5*F5,0))</f>
        <v/>
      </c>
      <c r="O5" s="14">
        <f>IF($A5="","",IF(COUNTIFS('Sessions'!$P$3:$P$202,P5)=0,"⚠ no Finger curls session row","ok"))</f>
        <v/>
      </c>
      <c r="P5" s="15">
        <f>IF($A5="","",$A5*10+2)</f>
        <v/>
      </c>
    </row>
    <row r="6">
      <c r="A6" s="11" t="n">
        <v>46314</v>
      </c>
      <c r="B6" t="n">
        <v>1</v>
      </c>
      <c r="C6" t="n">
        <v>30</v>
      </c>
      <c r="D6" t="n">
        <v>6</v>
      </c>
      <c r="E6" t="n">
        <v>32.5</v>
      </c>
      <c r="F6" t="n">
        <v>6</v>
      </c>
      <c r="G6" t="n">
        <v>120</v>
      </c>
      <c r="H6" t="n">
        <v>8</v>
      </c>
      <c r="I6" t="inlineStr">
        <is>
          <t>Yes</t>
        </is>
      </c>
      <c r="J6" s="13" t="n"/>
      <c r="K6" s="15">
        <f>IF($A6="","",IF(B6&lt;&gt;"",B6,COUNTIFS($P$3:P6,P6)))</f>
        <v/>
      </c>
      <c r="L6" s="14">
        <f>IF(COUNT(C6,D6)&lt;2,"",ROUND(C6*(1+D6/30),1))</f>
        <v/>
      </c>
      <c r="M6" s="14">
        <f>IF(COUNT(E6,F6)&lt;2,"",ROUND(E6*(1+F6/30),1))</f>
        <v/>
      </c>
      <c r="N6" s="14">
        <f>IF(COUNT(C6:F6)=0,"",IF(COUNT(C6,D6)=2,C6*D6,0)+IF(COUNT(E6,F6)=2,E6*F6,0))</f>
        <v/>
      </c>
      <c r="O6" s="14">
        <f>IF($A6="","",IF(COUNTIFS('Sessions'!$P$3:$P$202,P6)=0,"⚠ no Finger curls session row","ok"))</f>
        <v/>
      </c>
      <c r="P6" s="15">
        <f>IF($A6="","",$A6*10+2)</f>
        <v/>
      </c>
    </row>
    <row r="7">
      <c r="A7" s="11" t="n">
        <v>46314</v>
      </c>
      <c r="C7" t="n">
        <v>30</v>
      </c>
      <c r="D7" t="n">
        <v>5</v>
      </c>
      <c r="E7" t="n">
        <v>32.5</v>
      </c>
      <c r="F7" t="n">
        <v>6</v>
      </c>
      <c r="G7" t="n">
        <v>120</v>
      </c>
      <c r="H7" t="n">
        <v>9</v>
      </c>
      <c r="I7" t="inlineStr">
        <is>
          <t>Yes</t>
        </is>
      </c>
      <c r="J7" s="13" t="n"/>
      <c r="K7" s="15">
        <f>IF($A7="","",IF(B7&lt;&gt;"",B7,COUNTIFS($P$3:P7,P7)))</f>
        <v/>
      </c>
      <c r="L7" s="14">
        <f>IF(COUNT(C7,D7)&lt;2,"",ROUND(C7*(1+D7/30),1))</f>
        <v/>
      </c>
      <c r="M7" s="14">
        <f>IF(COUNT(E7,F7)&lt;2,"",ROUND(E7*(1+F7/30),1))</f>
        <v/>
      </c>
      <c r="N7" s="14">
        <f>IF(COUNT(C7:F7)=0,"",IF(COUNT(C7,D7)=2,C7*D7,0)+IF(COUNT(E7,F7)=2,E7*F7,0))</f>
        <v/>
      </c>
      <c r="O7" s="14">
        <f>IF($A7="","",IF(COUNTIFS('Sessions'!$P$3:$P$202,P7)=0,"⚠ no Finger curls session row","ok"))</f>
        <v/>
      </c>
      <c r="P7" s="15">
        <f>IF($A7="","",$A7*10+2)</f>
        <v/>
      </c>
    </row>
    <row r="8">
      <c r="A8" s="11" t="n"/>
      <c r="J8" s="13" t="n"/>
      <c r="K8" s="15">
        <f>IF($A8="","",IF(B8&lt;&gt;"",B8,COUNTIFS($P$3:P8,P8)))</f>
        <v/>
      </c>
      <c r="L8" s="14">
        <f>IF(COUNT(C8,D8)&lt;2,"",ROUND(C8*(1+D8/30),1))</f>
        <v/>
      </c>
      <c r="M8" s="14">
        <f>IF(COUNT(E8,F8)&lt;2,"",ROUND(E8*(1+F8/30),1))</f>
        <v/>
      </c>
      <c r="N8" s="14">
        <f>IF(COUNT(C8:F8)=0,"",IF(COUNT(C8,D8)=2,C8*D8,0)+IF(COUNT(E8,F8)=2,E8*F8,0))</f>
        <v/>
      </c>
      <c r="O8" s="14">
        <f>IF($A8="","",IF(COUNTIFS('Sessions'!$P$3:$P$202,P8)=0,"⚠ no Finger curls session row","ok"))</f>
        <v/>
      </c>
      <c r="P8" s="15">
        <f>IF($A8="","",$A8*10+2)</f>
        <v/>
      </c>
    </row>
    <row r="9">
      <c r="A9" s="11" t="n"/>
      <c r="J9" s="13" t="n"/>
      <c r="K9" s="15">
        <f>IF($A9="","",IF(B9&lt;&gt;"",B9,COUNTIFS($P$3:P9,P9)))</f>
        <v/>
      </c>
      <c r="L9" s="14">
        <f>IF(COUNT(C9,D9)&lt;2,"",ROUND(C9*(1+D9/30),1))</f>
        <v/>
      </c>
      <c r="M9" s="14">
        <f>IF(COUNT(E9,F9)&lt;2,"",ROUND(E9*(1+F9/30),1))</f>
        <v/>
      </c>
      <c r="N9" s="14">
        <f>IF(COUNT(C9:F9)=0,"",IF(COUNT(C9,D9)=2,C9*D9,0)+IF(COUNT(E9,F9)=2,E9*F9,0))</f>
        <v/>
      </c>
      <c r="O9" s="14">
        <f>IF($A9="","",IF(COUNTIFS('Sessions'!$P$3:$P$202,P9)=0,"⚠ no Finger curls session row","ok"))</f>
        <v/>
      </c>
      <c r="P9" s="15">
        <f>IF($A9="","",$A9*10+2)</f>
        <v/>
      </c>
    </row>
    <row r="10">
      <c r="A10" s="11" t="n"/>
      <c r="J10" s="13" t="n"/>
      <c r="K10" s="15">
        <f>IF($A10="","",IF(B10&lt;&gt;"",B10,COUNTIFS($P$3:P10,P10)))</f>
        <v/>
      </c>
      <c r="L10" s="14">
        <f>IF(COUNT(C10,D10)&lt;2,"",ROUND(C10*(1+D10/30),1))</f>
        <v/>
      </c>
      <c r="M10" s="14">
        <f>IF(COUNT(E10,F10)&lt;2,"",ROUND(E10*(1+F10/30),1))</f>
        <v/>
      </c>
      <c r="N10" s="14">
        <f>IF(COUNT(C10:F10)=0,"",IF(COUNT(C10,D10)=2,C10*D10,0)+IF(COUNT(E10,F10)=2,E10*F10,0))</f>
        <v/>
      </c>
      <c r="O10" s="14">
        <f>IF($A10="","",IF(COUNTIFS('Sessions'!$P$3:$P$202,P10)=0,"⚠ no Finger curls session row","ok"))</f>
        <v/>
      </c>
      <c r="P10" s="15">
        <f>IF($A10="","",$A10*10+2)</f>
        <v/>
      </c>
    </row>
    <row r="11">
      <c r="A11" s="11" t="n"/>
      <c r="J11" s="13" t="n"/>
      <c r="K11" s="15">
        <f>IF($A11="","",IF(B11&lt;&gt;"",B11,COUNTIFS($P$3:P11,P11)))</f>
        <v/>
      </c>
      <c r="L11" s="14">
        <f>IF(COUNT(C11,D11)&lt;2,"",ROUND(C11*(1+D11/30),1))</f>
        <v/>
      </c>
      <c r="M11" s="14">
        <f>IF(COUNT(E11,F11)&lt;2,"",ROUND(E11*(1+F11/30),1))</f>
        <v/>
      </c>
      <c r="N11" s="14">
        <f>IF(COUNT(C11:F11)=0,"",IF(COUNT(C11,D11)=2,C11*D11,0)+IF(COUNT(E11,F11)=2,E11*F11,0))</f>
        <v/>
      </c>
      <c r="O11" s="14">
        <f>IF($A11="","",IF(COUNTIFS('Sessions'!$P$3:$P$202,P11)=0,"⚠ no Finger curls session row","ok"))</f>
        <v/>
      </c>
      <c r="P11" s="15">
        <f>IF($A11="","",$A11*10+2)</f>
        <v/>
      </c>
    </row>
    <row r="12">
      <c r="A12" s="11" t="n"/>
      <c r="J12" s="13" t="n"/>
      <c r="K12" s="15">
        <f>IF($A12="","",IF(B12&lt;&gt;"",B12,COUNTIFS($P$3:P12,P12)))</f>
        <v/>
      </c>
      <c r="L12" s="14">
        <f>IF(COUNT(C12,D12)&lt;2,"",ROUND(C12*(1+D12/30),1))</f>
        <v/>
      </c>
      <c r="M12" s="14">
        <f>IF(COUNT(E12,F12)&lt;2,"",ROUND(E12*(1+F12/30),1))</f>
        <v/>
      </c>
      <c r="N12" s="14">
        <f>IF(COUNT(C12:F12)=0,"",IF(COUNT(C12,D12)=2,C12*D12,0)+IF(COUNT(E12,F12)=2,E12*F12,0))</f>
        <v/>
      </c>
      <c r="O12" s="14">
        <f>IF($A12="","",IF(COUNTIFS('Sessions'!$P$3:$P$202,P12)=0,"⚠ no Finger curls session row","ok"))</f>
        <v/>
      </c>
      <c r="P12" s="15">
        <f>IF($A12="","",$A12*10+2)</f>
        <v/>
      </c>
    </row>
    <row r="13">
      <c r="A13" s="11" t="n"/>
      <c r="J13" s="13" t="n"/>
      <c r="K13" s="15">
        <f>IF($A13="","",IF(B13&lt;&gt;"",B13,COUNTIFS($P$3:P13,P13)))</f>
        <v/>
      </c>
      <c r="L13" s="14">
        <f>IF(COUNT(C13,D13)&lt;2,"",ROUND(C13*(1+D13/30),1))</f>
        <v/>
      </c>
      <c r="M13" s="14">
        <f>IF(COUNT(E13,F13)&lt;2,"",ROUND(E13*(1+F13/30),1))</f>
        <v/>
      </c>
      <c r="N13" s="14">
        <f>IF(COUNT(C13:F13)=0,"",IF(COUNT(C13,D13)=2,C13*D13,0)+IF(COUNT(E13,F13)=2,E13*F13,0))</f>
        <v/>
      </c>
      <c r="O13" s="14">
        <f>IF($A13="","",IF(COUNTIFS('Sessions'!$P$3:$P$202,P13)=0,"⚠ no Finger curls session row","ok"))</f>
        <v/>
      </c>
      <c r="P13" s="15">
        <f>IF($A13="","",$A13*10+2)</f>
        <v/>
      </c>
    </row>
    <row r="14">
      <c r="A14" s="11" t="n"/>
      <c r="J14" s="13" t="n"/>
      <c r="K14" s="15">
        <f>IF($A14="","",IF(B14&lt;&gt;"",B14,COUNTIFS($P$3:P14,P14)))</f>
        <v/>
      </c>
      <c r="L14" s="14">
        <f>IF(COUNT(C14,D14)&lt;2,"",ROUND(C14*(1+D14/30),1))</f>
        <v/>
      </c>
      <c r="M14" s="14">
        <f>IF(COUNT(E14,F14)&lt;2,"",ROUND(E14*(1+F14/30),1))</f>
        <v/>
      </c>
      <c r="N14" s="14">
        <f>IF(COUNT(C14:F14)=0,"",IF(COUNT(C14,D14)=2,C14*D14,0)+IF(COUNT(E14,F14)=2,E14*F14,0))</f>
        <v/>
      </c>
      <c r="O14" s="14">
        <f>IF($A14="","",IF(COUNTIFS('Sessions'!$P$3:$P$202,P14)=0,"⚠ no Finger curls session row","ok"))</f>
        <v/>
      </c>
      <c r="P14" s="15">
        <f>IF($A14="","",$A14*10+2)</f>
        <v/>
      </c>
    </row>
    <row r="15">
      <c r="A15" s="11" t="n"/>
      <c r="J15" s="13" t="n"/>
      <c r="K15" s="15">
        <f>IF($A15="","",IF(B15&lt;&gt;"",B15,COUNTIFS($P$3:P15,P15)))</f>
        <v/>
      </c>
      <c r="L15" s="14">
        <f>IF(COUNT(C15,D15)&lt;2,"",ROUND(C15*(1+D15/30),1))</f>
        <v/>
      </c>
      <c r="M15" s="14">
        <f>IF(COUNT(E15,F15)&lt;2,"",ROUND(E15*(1+F15/30),1))</f>
        <v/>
      </c>
      <c r="N15" s="14">
        <f>IF(COUNT(C15:F15)=0,"",IF(COUNT(C15,D15)=2,C15*D15,0)+IF(COUNT(E15,F15)=2,E15*F15,0))</f>
        <v/>
      </c>
      <c r="O15" s="14">
        <f>IF($A15="","",IF(COUNTIFS('Sessions'!$P$3:$P$202,P15)=0,"⚠ no Finger curls session row","ok"))</f>
        <v/>
      </c>
      <c r="P15" s="15">
        <f>IF($A15="","",$A15*10+2)</f>
        <v/>
      </c>
    </row>
    <row r="16">
      <c r="A16" s="11" t="n"/>
      <c r="J16" s="13" t="n"/>
      <c r="K16" s="15">
        <f>IF($A16="","",IF(B16&lt;&gt;"",B16,COUNTIFS($P$3:P16,P16)))</f>
        <v/>
      </c>
      <c r="L16" s="14">
        <f>IF(COUNT(C16,D16)&lt;2,"",ROUND(C16*(1+D16/30),1))</f>
        <v/>
      </c>
      <c r="M16" s="14">
        <f>IF(COUNT(E16,F16)&lt;2,"",ROUND(E16*(1+F16/30),1))</f>
        <v/>
      </c>
      <c r="N16" s="14">
        <f>IF(COUNT(C16:F16)=0,"",IF(COUNT(C16,D16)=2,C16*D16,0)+IF(COUNT(E16,F16)=2,E16*F16,0))</f>
        <v/>
      </c>
      <c r="O16" s="14">
        <f>IF($A16="","",IF(COUNTIFS('Sessions'!$P$3:$P$202,P16)=0,"⚠ no Finger curls session row","ok"))</f>
        <v/>
      </c>
      <c r="P16" s="15">
        <f>IF($A16="","",$A16*10+2)</f>
        <v/>
      </c>
    </row>
    <row r="17">
      <c r="A17" s="11" t="n"/>
      <c r="J17" s="13" t="n"/>
      <c r="K17" s="15">
        <f>IF($A17="","",IF(B17&lt;&gt;"",B17,COUNTIFS($P$3:P17,P17)))</f>
        <v/>
      </c>
      <c r="L17" s="14">
        <f>IF(COUNT(C17,D17)&lt;2,"",ROUND(C17*(1+D17/30),1))</f>
        <v/>
      </c>
      <c r="M17" s="14">
        <f>IF(COUNT(E17,F17)&lt;2,"",ROUND(E17*(1+F17/30),1))</f>
        <v/>
      </c>
      <c r="N17" s="14">
        <f>IF(COUNT(C17:F17)=0,"",IF(COUNT(C17,D17)=2,C17*D17,0)+IF(COUNT(E17,F17)=2,E17*F17,0))</f>
        <v/>
      </c>
      <c r="O17" s="14">
        <f>IF($A17="","",IF(COUNTIFS('Sessions'!$P$3:$P$202,P17)=0,"⚠ no Finger curls session row","ok"))</f>
        <v/>
      </c>
      <c r="P17" s="15">
        <f>IF($A17="","",$A17*10+2)</f>
        <v/>
      </c>
    </row>
    <row r="18">
      <c r="A18" s="11" t="n"/>
      <c r="J18" s="13" t="n"/>
      <c r="K18" s="15">
        <f>IF($A18="","",IF(B18&lt;&gt;"",B18,COUNTIFS($P$3:P18,P18)))</f>
        <v/>
      </c>
      <c r="L18" s="14">
        <f>IF(COUNT(C18,D18)&lt;2,"",ROUND(C18*(1+D18/30),1))</f>
        <v/>
      </c>
      <c r="M18" s="14">
        <f>IF(COUNT(E18,F18)&lt;2,"",ROUND(E18*(1+F18/30),1))</f>
        <v/>
      </c>
      <c r="N18" s="14">
        <f>IF(COUNT(C18:F18)=0,"",IF(COUNT(C18,D18)=2,C18*D18,0)+IF(COUNT(E18,F18)=2,E18*F18,0))</f>
        <v/>
      </c>
      <c r="O18" s="14">
        <f>IF($A18="","",IF(COUNTIFS('Sessions'!$P$3:$P$202,P18)=0,"⚠ no Finger curls session row","ok"))</f>
        <v/>
      </c>
      <c r="P18" s="15">
        <f>IF($A18="","",$A18*10+2)</f>
        <v/>
      </c>
    </row>
    <row r="19">
      <c r="A19" s="11" t="n"/>
      <c r="J19" s="13" t="n"/>
      <c r="K19" s="15">
        <f>IF($A19="","",IF(B19&lt;&gt;"",B19,COUNTIFS($P$3:P19,P19)))</f>
        <v/>
      </c>
      <c r="L19" s="14">
        <f>IF(COUNT(C19,D19)&lt;2,"",ROUND(C19*(1+D19/30),1))</f>
        <v/>
      </c>
      <c r="M19" s="14">
        <f>IF(COUNT(E19,F19)&lt;2,"",ROUND(E19*(1+F19/30),1))</f>
        <v/>
      </c>
      <c r="N19" s="14">
        <f>IF(COUNT(C19:F19)=0,"",IF(COUNT(C19,D19)=2,C19*D19,0)+IF(COUNT(E19,F19)=2,E19*F19,0))</f>
        <v/>
      </c>
      <c r="O19" s="14">
        <f>IF($A19="","",IF(COUNTIFS('Sessions'!$P$3:$P$202,P19)=0,"⚠ no Finger curls session row","ok"))</f>
        <v/>
      </c>
      <c r="P19" s="15">
        <f>IF($A19="","",$A19*10+2)</f>
        <v/>
      </c>
    </row>
    <row r="20">
      <c r="A20" s="11" t="n"/>
      <c r="J20" s="13" t="n"/>
      <c r="K20" s="15">
        <f>IF($A20="","",IF(B20&lt;&gt;"",B20,COUNTIFS($P$3:P20,P20)))</f>
        <v/>
      </c>
      <c r="L20" s="14">
        <f>IF(COUNT(C20,D20)&lt;2,"",ROUND(C20*(1+D20/30),1))</f>
        <v/>
      </c>
      <c r="M20" s="14">
        <f>IF(COUNT(E20,F20)&lt;2,"",ROUND(E20*(1+F20/30),1))</f>
        <v/>
      </c>
      <c r="N20" s="14">
        <f>IF(COUNT(C20:F20)=0,"",IF(COUNT(C20,D20)=2,C20*D20,0)+IF(COUNT(E20,F20)=2,E20*F20,0))</f>
        <v/>
      </c>
      <c r="O20" s="14">
        <f>IF($A20="","",IF(COUNTIFS('Sessions'!$P$3:$P$202,P20)=0,"⚠ no Finger curls session row","ok"))</f>
        <v/>
      </c>
      <c r="P20" s="15">
        <f>IF($A20="","",$A20*10+2)</f>
        <v/>
      </c>
    </row>
    <row r="21">
      <c r="A21" s="11" t="n"/>
      <c r="J21" s="13" t="n"/>
      <c r="K21" s="15">
        <f>IF($A21="","",IF(B21&lt;&gt;"",B21,COUNTIFS($P$3:P21,P21)))</f>
        <v/>
      </c>
      <c r="L21" s="14">
        <f>IF(COUNT(C21,D21)&lt;2,"",ROUND(C21*(1+D21/30),1))</f>
        <v/>
      </c>
      <c r="M21" s="14">
        <f>IF(COUNT(E21,F21)&lt;2,"",ROUND(E21*(1+F21/30),1))</f>
        <v/>
      </c>
      <c r="N21" s="14">
        <f>IF(COUNT(C21:F21)=0,"",IF(COUNT(C21,D21)=2,C21*D21,0)+IF(COUNT(E21,F21)=2,E21*F21,0))</f>
        <v/>
      </c>
      <c r="O21" s="14">
        <f>IF($A21="","",IF(COUNTIFS('Sessions'!$P$3:$P$202,P21)=0,"⚠ no Finger curls session row","ok"))</f>
        <v/>
      </c>
      <c r="P21" s="15">
        <f>IF($A21="","",$A21*10+2)</f>
        <v/>
      </c>
    </row>
    <row r="22">
      <c r="A22" s="11" t="n"/>
      <c r="J22" s="13" t="n"/>
      <c r="K22" s="15">
        <f>IF($A22="","",IF(B22&lt;&gt;"",B22,COUNTIFS($P$3:P22,P22)))</f>
        <v/>
      </c>
      <c r="L22" s="14">
        <f>IF(COUNT(C22,D22)&lt;2,"",ROUND(C22*(1+D22/30),1))</f>
        <v/>
      </c>
      <c r="M22" s="14">
        <f>IF(COUNT(E22,F22)&lt;2,"",ROUND(E22*(1+F22/30),1))</f>
        <v/>
      </c>
      <c r="N22" s="14">
        <f>IF(COUNT(C22:F22)=0,"",IF(COUNT(C22,D22)=2,C22*D22,0)+IF(COUNT(E22,F22)=2,E22*F22,0))</f>
        <v/>
      </c>
      <c r="O22" s="14">
        <f>IF($A22="","",IF(COUNTIFS('Sessions'!$P$3:$P$202,P22)=0,"⚠ no Finger curls session row","ok"))</f>
        <v/>
      </c>
      <c r="P22" s="15">
        <f>IF($A22="","",$A22*10+2)</f>
        <v/>
      </c>
    </row>
    <row r="23">
      <c r="A23" s="11" t="n"/>
      <c r="J23" s="13" t="n"/>
      <c r="K23" s="15">
        <f>IF($A23="","",IF(B23&lt;&gt;"",B23,COUNTIFS($P$3:P23,P23)))</f>
        <v/>
      </c>
      <c r="L23" s="14">
        <f>IF(COUNT(C23,D23)&lt;2,"",ROUND(C23*(1+D23/30),1))</f>
        <v/>
      </c>
      <c r="M23" s="14">
        <f>IF(COUNT(E23,F23)&lt;2,"",ROUND(E23*(1+F23/30),1))</f>
        <v/>
      </c>
      <c r="N23" s="14">
        <f>IF(COUNT(C23:F23)=0,"",IF(COUNT(C23,D23)=2,C23*D23,0)+IF(COUNT(E23,F23)=2,E23*F23,0))</f>
        <v/>
      </c>
      <c r="O23" s="14">
        <f>IF($A23="","",IF(COUNTIFS('Sessions'!$P$3:$P$202,P23)=0,"⚠ no Finger curls session row","ok"))</f>
        <v/>
      </c>
      <c r="P23" s="15">
        <f>IF($A23="","",$A23*10+2)</f>
        <v/>
      </c>
    </row>
    <row r="24">
      <c r="A24" s="11" t="n"/>
      <c r="J24" s="13" t="n"/>
      <c r="K24" s="15">
        <f>IF($A24="","",IF(B24&lt;&gt;"",B24,COUNTIFS($P$3:P24,P24)))</f>
        <v/>
      </c>
      <c r="L24" s="14">
        <f>IF(COUNT(C24,D24)&lt;2,"",ROUND(C24*(1+D24/30),1))</f>
        <v/>
      </c>
      <c r="M24" s="14">
        <f>IF(COUNT(E24,F24)&lt;2,"",ROUND(E24*(1+F24/30),1))</f>
        <v/>
      </c>
      <c r="N24" s="14">
        <f>IF(COUNT(C24:F24)=0,"",IF(COUNT(C24,D24)=2,C24*D24,0)+IF(COUNT(E24,F24)=2,E24*F24,0))</f>
        <v/>
      </c>
      <c r="O24" s="14">
        <f>IF($A24="","",IF(COUNTIFS('Sessions'!$P$3:$P$202,P24)=0,"⚠ no Finger curls session row","ok"))</f>
        <v/>
      </c>
      <c r="P24" s="15">
        <f>IF($A24="","",$A24*10+2)</f>
        <v/>
      </c>
    </row>
    <row r="25">
      <c r="A25" s="11" t="n"/>
      <c r="J25" s="13" t="n"/>
      <c r="K25" s="15">
        <f>IF($A25="","",IF(B25&lt;&gt;"",B25,COUNTIFS($P$3:P25,P25)))</f>
        <v/>
      </c>
      <c r="L25" s="14">
        <f>IF(COUNT(C25,D25)&lt;2,"",ROUND(C25*(1+D25/30),1))</f>
        <v/>
      </c>
      <c r="M25" s="14">
        <f>IF(COUNT(E25,F25)&lt;2,"",ROUND(E25*(1+F25/30),1))</f>
        <v/>
      </c>
      <c r="N25" s="14">
        <f>IF(COUNT(C25:F25)=0,"",IF(COUNT(C25,D25)=2,C25*D25,0)+IF(COUNT(E25,F25)=2,E25*F25,0))</f>
        <v/>
      </c>
      <c r="O25" s="14">
        <f>IF($A25="","",IF(COUNTIFS('Sessions'!$P$3:$P$202,P25)=0,"⚠ no Finger curls session row","ok"))</f>
        <v/>
      </c>
      <c r="P25" s="15">
        <f>IF($A25="","",$A25*10+2)</f>
        <v/>
      </c>
    </row>
    <row r="26">
      <c r="A26" s="11" t="n"/>
      <c r="J26" s="13" t="n"/>
      <c r="K26" s="15">
        <f>IF($A26="","",IF(B26&lt;&gt;"",B26,COUNTIFS($P$3:P26,P26)))</f>
        <v/>
      </c>
      <c r="L26" s="14">
        <f>IF(COUNT(C26,D26)&lt;2,"",ROUND(C26*(1+D26/30),1))</f>
        <v/>
      </c>
      <c r="M26" s="14">
        <f>IF(COUNT(E26,F26)&lt;2,"",ROUND(E26*(1+F26/30),1))</f>
        <v/>
      </c>
      <c r="N26" s="14">
        <f>IF(COUNT(C26:F26)=0,"",IF(COUNT(C26,D26)=2,C26*D26,0)+IF(COUNT(E26,F26)=2,E26*F26,0))</f>
        <v/>
      </c>
      <c r="O26" s="14">
        <f>IF($A26="","",IF(COUNTIFS('Sessions'!$P$3:$P$202,P26)=0,"⚠ no Finger curls session row","ok"))</f>
        <v/>
      </c>
      <c r="P26" s="15">
        <f>IF($A26="","",$A26*10+2)</f>
        <v/>
      </c>
    </row>
    <row r="27">
      <c r="A27" s="11" t="n"/>
      <c r="J27" s="13" t="n"/>
      <c r="K27" s="15">
        <f>IF($A27="","",IF(B27&lt;&gt;"",B27,COUNTIFS($P$3:P27,P27)))</f>
        <v/>
      </c>
      <c r="L27" s="14">
        <f>IF(COUNT(C27,D27)&lt;2,"",ROUND(C27*(1+D27/30),1))</f>
        <v/>
      </c>
      <c r="M27" s="14">
        <f>IF(COUNT(E27,F27)&lt;2,"",ROUND(E27*(1+F27/30),1))</f>
        <v/>
      </c>
      <c r="N27" s="14">
        <f>IF(COUNT(C27:F27)=0,"",IF(COUNT(C27,D27)=2,C27*D27,0)+IF(COUNT(E27,F27)=2,E27*F27,0))</f>
        <v/>
      </c>
      <c r="O27" s="14">
        <f>IF($A27="","",IF(COUNTIFS('Sessions'!$P$3:$P$202,P27)=0,"⚠ no Finger curls session row","ok"))</f>
        <v/>
      </c>
      <c r="P27" s="15">
        <f>IF($A27="","",$A27*10+2)</f>
        <v/>
      </c>
    </row>
    <row r="28">
      <c r="A28" s="11" t="n"/>
      <c r="J28" s="13" t="n"/>
      <c r="K28" s="15">
        <f>IF($A28="","",IF(B28&lt;&gt;"",B28,COUNTIFS($P$3:P28,P28)))</f>
        <v/>
      </c>
      <c r="L28" s="14">
        <f>IF(COUNT(C28,D28)&lt;2,"",ROUND(C28*(1+D28/30),1))</f>
        <v/>
      </c>
      <c r="M28" s="14">
        <f>IF(COUNT(E28,F28)&lt;2,"",ROUND(E28*(1+F28/30),1))</f>
        <v/>
      </c>
      <c r="N28" s="14">
        <f>IF(COUNT(C28:F28)=0,"",IF(COUNT(C28,D28)=2,C28*D28,0)+IF(COUNT(E28,F28)=2,E28*F28,0))</f>
        <v/>
      </c>
      <c r="O28" s="14">
        <f>IF($A28="","",IF(COUNTIFS('Sessions'!$P$3:$P$202,P28)=0,"⚠ no Finger curls session row","ok"))</f>
        <v/>
      </c>
      <c r="P28" s="15">
        <f>IF($A28="","",$A28*10+2)</f>
        <v/>
      </c>
    </row>
    <row r="29">
      <c r="A29" s="11" t="n"/>
      <c r="J29" s="13" t="n"/>
      <c r="K29" s="15">
        <f>IF($A29="","",IF(B29&lt;&gt;"",B29,COUNTIFS($P$3:P29,P29)))</f>
        <v/>
      </c>
      <c r="L29" s="14">
        <f>IF(COUNT(C29,D29)&lt;2,"",ROUND(C29*(1+D29/30),1))</f>
        <v/>
      </c>
      <c r="M29" s="14">
        <f>IF(COUNT(E29,F29)&lt;2,"",ROUND(E29*(1+F29/30),1))</f>
        <v/>
      </c>
      <c r="N29" s="14">
        <f>IF(COUNT(C29:F29)=0,"",IF(COUNT(C29,D29)=2,C29*D29,0)+IF(COUNT(E29,F29)=2,E29*F29,0))</f>
        <v/>
      </c>
      <c r="O29" s="14">
        <f>IF($A29="","",IF(COUNTIFS('Sessions'!$P$3:$P$202,P29)=0,"⚠ no Finger curls session row","ok"))</f>
        <v/>
      </c>
      <c r="P29" s="15">
        <f>IF($A29="","",$A29*10+2)</f>
        <v/>
      </c>
    </row>
    <row r="30">
      <c r="A30" s="11" t="n"/>
      <c r="J30" s="13" t="n"/>
      <c r="K30" s="15">
        <f>IF($A30="","",IF(B30&lt;&gt;"",B30,COUNTIFS($P$3:P30,P30)))</f>
        <v/>
      </c>
      <c r="L30" s="14">
        <f>IF(COUNT(C30,D30)&lt;2,"",ROUND(C30*(1+D30/30),1))</f>
        <v/>
      </c>
      <c r="M30" s="14">
        <f>IF(COUNT(E30,F30)&lt;2,"",ROUND(E30*(1+F30/30),1))</f>
        <v/>
      </c>
      <c r="N30" s="14">
        <f>IF(COUNT(C30:F30)=0,"",IF(COUNT(C30,D30)=2,C30*D30,0)+IF(COUNT(E30,F30)=2,E30*F30,0))</f>
        <v/>
      </c>
      <c r="O30" s="14">
        <f>IF($A30="","",IF(COUNTIFS('Sessions'!$P$3:$P$202,P30)=0,"⚠ no Finger curls session row","ok"))</f>
        <v/>
      </c>
      <c r="P30" s="15">
        <f>IF($A30="","",$A30*10+2)</f>
        <v/>
      </c>
    </row>
    <row r="31">
      <c r="A31" s="11" t="n"/>
      <c r="J31" s="13" t="n"/>
      <c r="K31" s="15">
        <f>IF($A31="","",IF(B31&lt;&gt;"",B31,COUNTIFS($P$3:P31,P31)))</f>
        <v/>
      </c>
      <c r="L31" s="14">
        <f>IF(COUNT(C31,D31)&lt;2,"",ROUND(C31*(1+D31/30),1))</f>
        <v/>
      </c>
      <c r="M31" s="14">
        <f>IF(COUNT(E31,F31)&lt;2,"",ROUND(E31*(1+F31/30),1))</f>
        <v/>
      </c>
      <c r="N31" s="14">
        <f>IF(COUNT(C31:F31)=0,"",IF(COUNT(C31,D31)=2,C31*D31,0)+IF(COUNT(E31,F31)=2,E31*F31,0))</f>
        <v/>
      </c>
      <c r="O31" s="14">
        <f>IF($A31="","",IF(COUNTIFS('Sessions'!$P$3:$P$202,P31)=0,"⚠ no Finger curls session row","ok"))</f>
        <v/>
      </c>
      <c r="P31" s="15">
        <f>IF($A31="","",$A31*10+2)</f>
        <v/>
      </c>
    </row>
    <row r="32">
      <c r="A32" s="11" t="n"/>
      <c r="J32" s="13" t="n"/>
      <c r="K32" s="15">
        <f>IF($A32="","",IF(B32&lt;&gt;"",B32,COUNTIFS($P$3:P32,P32)))</f>
        <v/>
      </c>
      <c r="L32" s="14">
        <f>IF(COUNT(C32,D32)&lt;2,"",ROUND(C32*(1+D32/30),1))</f>
        <v/>
      </c>
      <c r="M32" s="14">
        <f>IF(COUNT(E32,F32)&lt;2,"",ROUND(E32*(1+F32/30),1))</f>
        <v/>
      </c>
      <c r="N32" s="14">
        <f>IF(COUNT(C32:F32)=0,"",IF(COUNT(C32,D32)=2,C32*D32,0)+IF(COUNT(E32,F32)=2,E32*F32,0))</f>
        <v/>
      </c>
      <c r="O32" s="14">
        <f>IF($A32="","",IF(COUNTIFS('Sessions'!$P$3:$P$202,P32)=0,"⚠ no Finger curls session row","ok"))</f>
        <v/>
      </c>
      <c r="P32" s="15">
        <f>IF($A32="","",$A32*10+2)</f>
        <v/>
      </c>
    </row>
    <row r="33">
      <c r="A33" s="11" t="n"/>
      <c r="J33" s="13" t="n"/>
      <c r="K33" s="15">
        <f>IF($A33="","",IF(B33&lt;&gt;"",B33,COUNTIFS($P$3:P33,P33)))</f>
        <v/>
      </c>
      <c r="L33" s="14">
        <f>IF(COUNT(C33,D33)&lt;2,"",ROUND(C33*(1+D33/30),1))</f>
        <v/>
      </c>
      <c r="M33" s="14">
        <f>IF(COUNT(E33,F33)&lt;2,"",ROUND(E33*(1+F33/30),1))</f>
        <v/>
      </c>
      <c r="N33" s="14">
        <f>IF(COUNT(C33:F33)=0,"",IF(COUNT(C33,D33)=2,C33*D33,0)+IF(COUNT(E33,F33)=2,E33*F33,0))</f>
        <v/>
      </c>
      <c r="O33" s="14">
        <f>IF($A33="","",IF(COUNTIFS('Sessions'!$P$3:$P$202,P33)=0,"⚠ no Finger curls session row","ok"))</f>
        <v/>
      </c>
      <c r="P33" s="15">
        <f>IF($A33="","",$A33*10+2)</f>
        <v/>
      </c>
    </row>
    <row r="34">
      <c r="A34" s="11" t="n"/>
      <c r="J34" s="13" t="n"/>
      <c r="K34" s="15">
        <f>IF($A34="","",IF(B34&lt;&gt;"",B34,COUNTIFS($P$3:P34,P34)))</f>
        <v/>
      </c>
      <c r="L34" s="14">
        <f>IF(COUNT(C34,D34)&lt;2,"",ROUND(C34*(1+D34/30),1))</f>
        <v/>
      </c>
      <c r="M34" s="14">
        <f>IF(COUNT(E34,F34)&lt;2,"",ROUND(E34*(1+F34/30),1))</f>
        <v/>
      </c>
      <c r="N34" s="14">
        <f>IF(COUNT(C34:F34)=0,"",IF(COUNT(C34,D34)=2,C34*D34,0)+IF(COUNT(E34,F34)=2,E34*F34,0))</f>
        <v/>
      </c>
      <c r="O34" s="14">
        <f>IF($A34="","",IF(COUNTIFS('Sessions'!$P$3:$P$202,P34)=0,"⚠ no Finger curls session row","ok"))</f>
        <v/>
      </c>
      <c r="P34" s="15">
        <f>IF($A34="","",$A34*10+2)</f>
        <v/>
      </c>
    </row>
    <row r="35">
      <c r="A35" s="11" t="n"/>
      <c r="J35" s="13" t="n"/>
      <c r="K35" s="15">
        <f>IF($A35="","",IF(B35&lt;&gt;"",B35,COUNTIFS($P$3:P35,P35)))</f>
        <v/>
      </c>
      <c r="L35" s="14">
        <f>IF(COUNT(C35,D35)&lt;2,"",ROUND(C35*(1+D35/30),1))</f>
        <v/>
      </c>
      <c r="M35" s="14">
        <f>IF(COUNT(E35,F35)&lt;2,"",ROUND(E35*(1+F35/30),1))</f>
        <v/>
      </c>
      <c r="N35" s="14">
        <f>IF(COUNT(C35:F35)=0,"",IF(COUNT(C35,D35)=2,C35*D35,0)+IF(COUNT(E35,F35)=2,E35*F35,0))</f>
        <v/>
      </c>
      <c r="O35" s="14">
        <f>IF($A35="","",IF(COUNTIFS('Sessions'!$P$3:$P$202,P35)=0,"⚠ no Finger curls session row","ok"))</f>
        <v/>
      </c>
      <c r="P35" s="15">
        <f>IF($A35="","",$A35*10+2)</f>
        <v/>
      </c>
    </row>
    <row r="36">
      <c r="A36" s="11" t="n"/>
      <c r="J36" s="13" t="n"/>
      <c r="K36" s="15">
        <f>IF($A36="","",IF(B36&lt;&gt;"",B36,COUNTIFS($P$3:P36,P36)))</f>
        <v/>
      </c>
      <c r="L36" s="14">
        <f>IF(COUNT(C36,D36)&lt;2,"",ROUND(C36*(1+D36/30),1))</f>
        <v/>
      </c>
      <c r="M36" s="14">
        <f>IF(COUNT(E36,F36)&lt;2,"",ROUND(E36*(1+F36/30),1))</f>
        <v/>
      </c>
      <c r="N36" s="14">
        <f>IF(COUNT(C36:F36)=0,"",IF(COUNT(C36,D36)=2,C36*D36,0)+IF(COUNT(E36,F36)=2,E36*F36,0))</f>
        <v/>
      </c>
      <c r="O36" s="14">
        <f>IF($A36="","",IF(COUNTIFS('Sessions'!$P$3:$P$202,P36)=0,"⚠ no Finger curls session row","ok"))</f>
        <v/>
      </c>
      <c r="P36" s="15">
        <f>IF($A36="","",$A36*10+2)</f>
        <v/>
      </c>
    </row>
    <row r="37">
      <c r="A37" s="11" t="n"/>
      <c r="J37" s="13" t="n"/>
      <c r="K37" s="15">
        <f>IF($A37="","",IF(B37&lt;&gt;"",B37,COUNTIFS($P$3:P37,P37)))</f>
        <v/>
      </c>
      <c r="L37" s="14">
        <f>IF(COUNT(C37,D37)&lt;2,"",ROUND(C37*(1+D37/30),1))</f>
        <v/>
      </c>
      <c r="M37" s="14">
        <f>IF(COUNT(E37,F37)&lt;2,"",ROUND(E37*(1+F37/30),1))</f>
        <v/>
      </c>
      <c r="N37" s="14">
        <f>IF(COUNT(C37:F37)=0,"",IF(COUNT(C37,D37)=2,C37*D37,0)+IF(COUNT(E37,F37)=2,E37*F37,0))</f>
        <v/>
      </c>
      <c r="O37" s="14">
        <f>IF($A37="","",IF(COUNTIFS('Sessions'!$P$3:$P$202,P37)=0,"⚠ no Finger curls session row","ok"))</f>
        <v/>
      </c>
      <c r="P37" s="15">
        <f>IF($A37="","",$A37*10+2)</f>
        <v/>
      </c>
    </row>
    <row r="38">
      <c r="A38" s="11" t="n"/>
      <c r="J38" s="13" t="n"/>
      <c r="K38" s="15">
        <f>IF($A38="","",IF(B38&lt;&gt;"",B38,COUNTIFS($P$3:P38,P38)))</f>
        <v/>
      </c>
      <c r="L38" s="14">
        <f>IF(COUNT(C38,D38)&lt;2,"",ROUND(C38*(1+D38/30),1))</f>
        <v/>
      </c>
      <c r="M38" s="14">
        <f>IF(COUNT(E38,F38)&lt;2,"",ROUND(E38*(1+F38/30),1))</f>
        <v/>
      </c>
      <c r="N38" s="14">
        <f>IF(COUNT(C38:F38)=0,"",IF(COUNT(C38,D38)=2,C38*D38,0)+IF(COUNT(E38,F38)=2,E38*F38,0))</f>
        <v/>
      </c>
      <c r="O38" s="14">
        <f>IF($A38="","",IF(COUNTIFS('Sessions'!$P$3:$P$202,P38)=0,"⚠ no Finger curls session row","ok"))</f>
        <v/>
      </c>
      <c r="P38" s="15">
        <f>IF($A38="","",$A38*10+2)</f>
        <v/>
      </c>
    </row>
    <row r="39">
      <c r="A39" s="11" t="n"/>
      <c r="J39" s="13" t="n"/>
      <c r="K39" s="15">
        <f>IF($A39="","",IF(B39&lt;&gt;"",B39,COUNTIFS($P$3:P39,P39)))</f>
        <v/>
      </c>
      <c r="L39" s="14">
        <f>IF(COUNT(C39,D39)&lt;2,"",ROUND(C39*(1+D39/30),1))</f>
        <v/>
      </c>
      <c r="M39" s="14">
        <f>IF(COUNT(E39,F39)&lt;2,"",ROUND(E39*(1+F39/30),1))</f>
        <v/>
      </c>
      <c r="N39" s="14">
        <f>IF(COUNT(C39:F39)=0,"",IF(COUNT(C39,D39)=2,C39*D39,0)+IF(COUNT(E39,F39)=2,E39*F39,0))</f>
        <v/>
      </c>
      <c r="O39" s="14">
        <f>IF($A39="","",IF(COUNTIFS('Sessions'!$P$3:$P$202,P39)=0,"⚠ no Finger curls session row","ok"))</f>
        <v/>
      </c>
      <c r="P39" s="15">
        <f>IF($A39="","",$A39*10+2)</f>
        <v/>
      </c>
    </row>
    <row r="40">
      <c r="A40" s="11" t="n"/>
      <c r="J40" s="13" t="n"/>
      <c r="K40" s="15">
        <f>IF($A40="","",IF(B40&lt;&gt;"",B40,COUNTIFS($P$3:P40,P40)))</f>
        <v/>
      </c>
      <c r="L40" s="14">
        <f>IF(COUNT(C40,D40)&lt;2,"",ROUND(C40*(1+D40/30),1))</f>
        <v/>
      </c>
      <c r="M40" s="14">
        <f>IF(COUNT(E40,F40)&lt;2,"",ROUND(E40*(1+F40/30),1))</f>
        <v/>
      </c>
      <c r="N40" s="14">
        <f>IF(COUNT(C40:F40)=0,"",IF(COUNT(C40,D40)=2,C40*D40,0)+IF(COUNT(E40,F40)=2,E40*F40,0))</f>
        <v/>
      </c>
      <c r="O40" s="14">
        <f>IF($A40="","",IF(COUNTIFS('Sessions'!$P$3:$P$202,P40)=0,"⚠ no Finger curls session row","ok"))</f>
        <v/>
      </c>
      <c r="P40" s="15">
        <f>IF($A40="","",$A40*10+2)</f>
        <v/>
      </c>
    </row>
    <row r="41">
      <c r="A41" s="11" t="n"/>
      <c r="J41" s="13" t="n"/>
      <c r="K41" s="15">
        <f>IF($A41="","",IF(B41&lt;&gt;"",B41,COUNTIFS($P$3:P41,P41)))</f>
        <v/>
      </c>
      <c r="L41" s="14">
        <f>IF(COUNT(C41,D41)&lt;2,"",ROUND(C41*(1+D41/30),1))</f>
        <v/>
      </c>
      <c r="M41" s="14">
        <f>IF(COUNT(E41,F41)&lt;2,"",ROUND(E41*(1+F41/30),1))</f>
        <v/>
      </c>
      <c r="N41" s="14">
        <f>IF(COUNT(C41:F41)=0,"",IF(COUNT(C41,D41)=2,C41*D41,0)+IF(COUNT(E41,F41)=2,E41*F41,0))</f>
        <v/>
      </c>
      <c r="O41" s="14">
        <f>IF($A41="","",IF(COUNTIFS('Sessions'!$P$3:$P$202,P41)=0,"⚠ no Finger curls session row","ok"))</f>
        <v/>
      </c>
      <c r="P41" s="15">
        <f>IF($A41="","",$A41*10+2)</f>
        <v/>
      </c>
    </row>
    <row r="42">
      <c r="A42" s="11" t="n"/>
      <c r="J42" s="13" t="n"/>
      <c r="K42" s="15">
        <f>IF($A42="","",IF(B42&lt;&gt;"",B42,COUNTIFS($P$3:P42,P42)))</f>
        <v/>
      </c>
      <c r="L42" s="14">
        <f>IF(COUNT(C42,D42)&lt;2,"",ROUND(C42*(1+D42/30),1))</f>
        <v/>
      </c>
      <c r="M42" s="14">
        <f>IF(COUNT(E42,F42)&lt;2,"",ROUND(E42*(1+F42/30),1))</f>
        <v/>
      </c>
      <c r="N42" s="14">
        <f>IF(COUNT(C42:F42)=0,"",IF(COUNT(C42,D42)=2,C42*D42,0)+IF(COUNT(E42,F42)=2,E42*F42,0))</f>
        <v/>
      </c>
      <c r="O42" s="14">
        <f>IF($A42="","",IF(COUNTIFS('Sessions'!$P$3:$P$202,P42)=0,"⚠ no Finger curls session row","ok"))</f>
        <v/>
      </c>
      <c r="P42" s="15">
        <f>IF($A42="","",$A42*10+2)</f>
        <v/>
      </c>
    </row>
    <row r="43">
      <c r="A43" s="11" t="n"/>
      <c r="J43" s="13" t="n"/>
      <c r="K43" s="15">
        <f>IF($A43="","",IF(B43&lt;&gt;"",B43,COUNTIFS($P$3:P43,P43)))</f>
        <v/>
      </c>
      <c r="L43" s="14">
        <f>IF(COUNT(C43,D43)&lt;2,"",ROUND(C43*(1+D43/30),1))</f>
        <v/>
      </c>
      <c r="M43" s="14">
        <f>IF(COUNT(E43,F43)&lt;2,"",ROUND(E43*(1+F43/30),1))</f>
        <v/>
      </c>
      <c r="N43" s="14">
        <f>IF(COUNT(C43:F43)=0,"",IF(COUNT(C43,D43)=2,C43*D43,0)+IF(COUNT(E43,F43)=2,E43*F43,0))</f>
        <v/>
      </c>
      <c r="O43" s="14">
        <f>IF($A43="","",IF(COUNTIFS('Sessions'!$P$3:$P$202,P43)=0,"⚠ no Finger curls session row","ok"))</f>
        <v/>
      </c>
      <c r="P43" s="15">
        <f>IF($A43="","",$A43*10+2)</f>
        <v/>
      </c>
    </row>
    <row r="44">
      <c r="A44" s="11" t="n"/>
      <c r="J44" s="13" t="n"/>
      <c r="K44" s="15">
        <f>IF($A44="","",IF(B44&lt;&gt;"",B44,COUNTIFS($P$3:P44,P44)))</f>
        <v/>
      </c>
      <c r="L44" s="14">
        <f>IF(COUNT(C44,D44)&lt;2,"",ROUND(C44*(1+D44/30),1))</f>
        <v/>
      </c>
      <c r="M44" s="14">
        <f>IF(COUNT(E44,F44)&lt;2,"",ROUND(E44*(1+F44/30),1))</f>
        <v/>
      </c>
      <c r="N44" s="14">
        <f>IF(COUNT(C44:F44)=0,"",IF(COUNT(C44,D44)=2,C44*D44,0)+IF(COUNT(E44,F44)=2,E44*F44,0))</f>
        <v/>
      </c>
      <c r="O44" s="14">
        <f>IF($A44="","",IF(COUNTIFS('Sessions'!$P$3:$P$202,P44)=0,"⚠ no Finger curls session row","ok"))</f>
        <v/>
      </c>
      <c r="P44" s="15">
        <f>IF($A44="","",$A44*10+2)</f>
        <v/>
      </c>
    </row>
    <row r="45">
      <c r="A45" s="11" t="n"/>
      <c r="J45" s="13" t="n"/>
      <c r="K45" s="15">
        <f>IF($A45="","",IF(B45&lt;&gt;"",B45,COUNTIFS($P$3:P45,P45)))</f>
        <v/>
      </c>
      <c r="L45" s="14">
        <f>IF(COUNT(C45,D45)&lt;2,"",ROUND(C45*(1+D45/30),1))</f>
        <v/>
      </c>
      <c r="M45" s="14">
        <f>IF(COUNT(E45,F45)&lt;2,"",ROUND(E45*(1+F45/30),1))</f>
        <v/>
      </c>
      <c r="N45" s="14">
        <f>IF(COUNT(C45:F45)=0,"",IF(COUNT(C45,D45)=2,C45*D45,0)+IF(COUNT(E45,F45)=2,E45*F45,0))</f>
        <v/>
      </c>
      <c r="O45" s="14">
        <f>IF($A45="","",IF(COUNTIFS('Sessions'!$P$3:$P$202,P45)=0,"⚠ no Finger curls session row","ok"))</f>
        <v/>
      </c>
      <c r="P45" s="15">
        <f>IF($A45="","",$A45*10+2)</f>
        <v/>
      </c>
    </row>
    <row r="46">
      <c r="A46" s="11" t="n"/>
      <c r="J46" s="13" t="n"/>
      <c r="K46" s="15">
        <f>IF($A46="","",IF(B46&lt;&gt;"",B46,COUNTIFS($P$3:P46,P46)))</f>
        <v/>
      </c>
      <c r="L46" s="14">
        <f>IF(COUNT(C46,D46)&lt;2,"",ROUND(C46*(1+D46/30),1))</f>
        <v/>
      </c>
      <c r="M46" s="14">
        <f>IF(COUNT(E46,F46)&lt;2,"",ROUND(E46*(1+F46/30),1))</f>
        <v/>
      </c>
      <c r="N46" s="14">
        <f>IF(COUNT(C46:F46)=0,"",IF(COUNT(C46,D46)=2,C46*D46,0)+IF(COUNT(E46,F46)=2,E46*F46,0))</f>
        <v/>
      </c>
      <c r="O46" s="14">
        <f>IF($A46="","",IF(COUNTIFS('Sessions'!$P$3:$P$202,P46)=0,"⚠ no Finger curls session row","ok"))</f>
        <v/>
      </c>
      <c r="P46" s="15">
        <f>IF($A46="","",$A46*10+2)</f>
        <v/>
      </c>
    </row>
    <row r="47">
      <c r="A47" s="11" t="n"/>
      <c r="J47" s="13" t="n"/>
      <c r="K47" s="15">
        <f>IF($A47="","",IF(B47&lt;&gt;"",B47,COUNTIFS($P$3:P47,P47)))</f>
        <v/>
      </c>
      <c r="L47" s="14">
        <f>IF(COUNT(C47,D47)&lt;2,"",ROUND(C47*(1+D47/30),1))</f>
        <v/>
      </c>
      <c r="M47" s="14">
        <f>IF(COUNT(E47,F47)&lt;2,"",ROUND(E47*(1+F47/30),1))</f>
        <v/>
      </c>
      <c r="N47" s="14">
        <f>IF(COUNT(C47:F47)=0,"",IF(COUNT(C47,D47)=2,C47*D47,0)+IF(COUNT(E47,F47)=2,E47*F47,0))</f>
        <v/>
      </c>
      <c r="O47" s="14">
        <f>IF($A47="","",IF(COUNTIFS('Sessions'!$P$3:$P$202,P47)=0,"⚠ no Finger curls session row","ok"))</f>
        <v/>
      </c>
      <c r="P47" s="15">
        <f>IF($A47="","",$A47*10+2)</f>
        <v/>
      </c>
    </row>
    <row r="48">
      <c r="A48" s="11" t="n"/>
      <c r="J48" s="13" t="n"/>
      <c r="K48" s="15">
        <f>IF($A48="","",IF(B48&lt;&gt;"",B48,COUNTIFS($P$3:P48,P48)))</f>
        <v/>
      </c>
      <c r="L48" s="14">
        <f>IF(COUNT(C48,D48)&lt;2,"",ROUND(C48*(1+D48/30),1))</f>
        <v/>
      </c>
      <c r="M48" s="14">
        <f>IF(COUNT(E48,F48)&lt;2,"",ROUND(E48*(1+F48/30),1))</f>
        <v/>
      </c>
      <c r="N48" s="14">
        <f>IF(COUNT(C48:F48)=0,"",IF(COUNT(C48,D48)=2,C48*D48,0)+IF(COUNT(E48,F48)=2,E48*F48,0))</f>
        <v/>
      </c>
      <c r="O48" s="14">
        <f>IF($A48="","",IF(COUNTIFS('Sessions'!$P$3:$P$202,P48)=0,"⚠ no Finger curls session row","ok"))</f>
        <v/>
      </c>
      <c r="P48" s="15">
        <f>IF($A48="","",$A48*10+2)</f>
        <v/>
      </c>
    </row>
    <row r="49">
      <c r="A49" s="11" t="n"/>
      <c r="J49" s="13" t="n"/>
      <c r="K49" s="15">
        <f>IF($A49="","",IF(B49&lt;&gt;"",B49,COUNTIFS($P$3:P49,P49)))</f>
        <v/>
      </c>
      <c r="L49" s="14">
        <f>IF(COUNT(C49,D49)&lt;2,"",ROUND(C49*(1+D49/30),1))</f>
        <v/>
      </c>
      <c r="M49" s="14">
        <f>IF(COUNT(E49,F49)&lt;2,"",ROUND(E49*(1+F49/30),1))</f>
        <v/>
      </c>
      <c r="N49" s="14">
        <f>IF(COUNT(C49:F49)=0,"",IF(COUNT(C49,D49)=2,C49*D49,0)+IF(COUNT(E49,F49)=2,E49*F49,0))</f>
        <v/>
      </c>
      <c r="O49" s="14">
        <f>IF($A49="","",IF(COUNTIFS('Sessions'!$P$3:$P$202,P49)=0,"⚠ no Finger curls session row","ok"))</f>
        <v/>
      </c>
      <c r="P49" s="15">
        <f>IF($A49="","",$A49*10+2)</f>
        <v/>
      </c>
    </row>
    <row r="50">
      <c r="A50" s="11" t="n"/>
      <c r="J50" s="13" t="n"/>
      <c r="K50" s="15">
        <f>IF($A50="","",IF(B50&lt;&gt;"",B50,COUNTIFS($P$3:P50,P50)))</f>
        <v/>
      </c>
      <c r="L50" s="14">
        <f>IF(COUNT(C50,D50)&lt;2,"",ROUND(C50*(1+D50/30),1))</f>
        <v/>
      </c>
      <c r="M50" s="14">
        <f>IF(COUNT(E50,F50)&lt;2,"",ROUND(E50*(1+F50/30),1))</f>
        <v/>
      </c>
      <c r="N50" s="14">
        <f>IF(COUNT(C50:F50)=0,"",IF(COUNT(C50,D50)=2,C50*D50,0)+IF(COUNT(E50,F50)=2,E50*F50,0))</f>
        <v/>
      </c>
      <c r="O50" s="14">
        <f>IF($A50="","",IF(COUNTIFS('Sessions'!$P$3:$P$202,P50)=0,"⚠ no Finger curls session row","ok"))</f>
        <v/>
      </c>
      <c r="P50" s="15">
        <f>IF($A50="","",$A50*10+2)</f>
        <v/>
      </c>
    </row>
    <row r="51">
      <c r="A51" s="11" t="n"/>
      <c r="J51" s="13" t="n"/>
      <c r="K51" s="15">
        <f>IF($A51="","",IF(B51&lt;&gt;"",B51,COUNTIFS($P$3:P51,P51)))</f>
        <v/>
      </c>
      <c r="L51" s="14">
        <f>IF(COUNT(C51,D51)&lt;2,"",ROUND(C51*(1+D51/30),1))</f>
        <v/>
      </c>
      <c r="M51" s="14">
        <f>IF(COUNT(E51,F51)&lt;2,"",ROUND(E51*(1+F51/30),1))</f>
        <v/>
      </c>
      <c r="N51" s="14">
        <f>IF(COUNT(C51:F51)=0,"",IF(COUNT(C51,D51)=2,C51*D51,0)+IF(COUNT(E51,F51)=2,E51*F51,0))</f>
        <v/>
      </c>
      <c r="O51" s="14">
        <f>IF($A51="","",IF(COUNTIFS('Sessions'!$P$3:$P$202,P51)=0,"⚠ no Finger curls session row","ok"))</f>
        <v/>
      </c>
      <c r="P51" s="15">
        <f>IF($A51="","",$A51*10+2)</f>
        <v/>
      </c>
    </row>
    <row r="52">
      <c r="A52" s="11" t="n"/>
      <c r="J52" s="13" t="n"/>
      <c r="K52" s="15">
        <f>IF($A52="","",IF(B52&lt;&gt;"",B52,COUNTIFS($P$3:P52,P52)))</f>
        <v/>
      </c>
      <c r="L52" s="14">
        <f>IF(COUNT(C52,D52)&lt;2,"",ROUND(C52*(1+D52/30),1))</f>
        <v/>
      </c>
      <c r="M52" s="14">
        <f>IF(COUNT(E52,F52)&lt;2,"",ROUND(E52*(1+F52/30),1))</f>
        <v/>
      </c>
      <c r="N52" s="14">
        <f>IF(COUNT(C52:F52)=0,"",IF(COUNT(C52,D52)=2,C52*D52,0)+IF(COUNT(E52,F52)=2,E52*F52,0))</f>
        <v/>
      </c>
      <c r="O52" s="14">
        <f>IF($A52="","",IF(COUNTIFS('Sessions'!$P$3:$P$202,P52)=0,"⚠ no Finger curls session row","ok"))</f>
        <v/>
      </c>
      <c r="P52" s="15">
        <f>IF($A52="","",$A52*10+2)</f>
        <v/>
      </c>
    </row>
    <row r="53">
      <c r="A53" s="11" t="n"/>
      <c r="J53" s="13" t="n"/>
      <c r="K53" s="15">
        <f>IF($A53="","",IF(B53&lt;&gt;"",B53,COUNTIFS($P$3:P53,P53)))</f>
        <v/>
      </c>
      <c r="L53" s="14">
        <f>IF(COUNT(C53,D53)&lt;2,"",ROUND(C53*(1+D53/30),1))</f>
        <v/>
      </c>
      <c r="M53" s="14">
        <f>IF(COUNT(E53,F53)&lt;2,"",ROUND(E53*(1+F53/30),1))</f>
        <v/>
      </c>
      <c r="N53" s="14">
        <f>IF(COUNT(C53:F53)=0,"",IF(COUNT(C53,D53)=2,C53*D53,0)+IF(COUNT(E53,F53)=2,E53*F53,0))</f>
        <v/>
      </c>
      <c r="O53" s="14">
        <f>IF($A53="","",IF(COUNTIFS('Sessions'!$P$3:$P$202,P53)=0,"⚠ no Finger curls session row","ok"))</f>
        <v/>
      </c>
      <c r="P53" s="15">
        <f>IF($A53="","",$A53*10+2)</f>
        <v/>
      </c>
    </row>
    <row r="54">
      <c r="A54" s="11" t="n"/>
      <c r="J54" s="13" t="n"/>
      <c r="K54" s="15">
        <f>IF($A54="","",IF(B54&lt;&gt;"",B54,COUNTIFS($P$3:P54,P54)))</f>
        <v/>
      </c>
      <c r="L54" s="14">
        <f>IF(COUNT(C54,D54)&lt;2,"",ROUND(C54*(1+D54/30),1))</f>
        <v/>
      </c>
      <c r="M54" s="14">
        <f>IF(COUNT(E54,F54)&lt;2,"",ROUND(E54*(1+F54/30),1))</f>
        <v/>
      </c>
      <c r="N54" s="14">
        <f>IF(COUNT(C54:F54)=0,"",IF(COUNT(C54,D54)=2,C54*D54,0)+IF(COUNT(E54,F54)=2,E54*F54,0))</f>
        <v/>
      </c>
      <c r="O54" s="14">
        <f>IF($A54="","",IF(COUNTIFS('Sessions'!$P$3:$P$202,P54)=0,"⚠ no Finger curls session row","ok"))</f>
        <v/>
      </c>
      <c r="P54" s="15">
        <f>IF($A54="","",$A54*10+2)</f>
        <v/>
      </c>
    </row>
    <row r="55">
      <c r="A55" s="11" t="n"/>
      <c r="J55" s="13" t="n"/>
      <c r="K55" s="15">
        <f>IF($A55="","",IF(B55&lt;&gt;"",B55,COUNTIFS($P$3:P55,P55)))</f>
        <v/>
      </c>
      <c r="L55" s="14">
        <f>IF(COUNT(C55,D55)&lt;2,"",ROUND(C55*(1+D55/30),1))</f>
        <v/>
      </c>
      <c r="M55" s="14">
        <f>IF(COUNT(E55,F55)&lt;2,"",ROUND(E55*(1+F55/30),1))</f>
        <v/>
      </c>
      <c r="N55" s="14">
        <f>IF(COUNT(C55:F55)=0,"",IF(COUNT(C55,D55)=2,C55*D55,0)+IF(COUNT(E55,F55)=2,E55*F55,0))</f>
        <v/>
      </c>
      <c r="O55" s="14">
        <f>IF($A55="","",IF(COUNTIFS('Sessions'!$P$3:$P$202,P55)=0,"⚠ no Finger curls session row","ok"))</f>
        <v/>
      </c>
      <c r="P55" s="15">
        <f>IF($A55="","",$A55*10+2)</f>
        <v/>
      </c>
    </row>
    <row r="56">
      <c r="A56" s="11" t="n"/>
      <c r="J56" s="13" t="n"/>
      <c r="K56" s="15">
        <f>IF($A56="","",IF(B56&lt;&gt;"",B56,COUNTIFS($P$3:P56,P56)))</f>
        <v/>
      </c>
      <c r="L56" s="14">
        <f>IF(COUNT(C56,D56)&lt;2,"",ROUND(C56*(1+D56/30),1))</f>
        <v/>
      </c>
      <c r="M56" s="14">
        <f>IF(COUNT(E56,F56)&lt;2,"",ROUND(E56*(1+F56/30),1))</f>
        <v/>
      </c>
      <c r="N56" s="14">
        <f>IF(COUNT(C56:F56)=0,"",IF(COUNT(C56,D56)=2,C56*D56,0)+IF(COUNT(E56,F56)=2,E56*F56,0))</f>
        <v/>
      </c>
      <c r="O56" s="14">
        <f>IF($A56="","",IF(COUNTIFS('Sessions'!$P$3:$P$202,P56)=0,"⚠ no Finger curls session row","ok"))</f>
        <v/>
      </c>
      <c r="P56" s="15">
        <f>IF($A56="","",$A56*10+2)</f>
        <v/>
      </c>
    </row>
    <row r="57">
      <c r="A57" s="11" t="n"/>
      <c r="J57" s="13" t="n"/>
      <c r="K57" s="15">
        <f>IF($A57="","",IF(B57&lt;&gt;"",B57,COUNTIFS($P$3:P57,P57)))</f>
        <v/>
      </c>
      <c r="L57" s="14">
        <f>IF(COUNT(C57,D57)&lt;2,"",ROUND(C57*(1+D57/30),1))</f>
        <v/>
      </c>
      <c r="M57" s="14">
        <f>IF(COUNT(E57,F57)&lt;2,"",ROUND(E57*(1+F57/30),1))</f>
        <v/>
      </c>
      <c r="N57" s="14">
        <f>IF(COUNT(C57:F57)=0,"",IF(COUNT(C57,D57)=2,C57*D57,0)+IF(COUNT(E57,F57)=2,E57*F57,0))</f>
        <v/>
      </c>
      <c r="O57" s="14">
        <f>IF($A57="","",IF(COUNTIFS('Sessions'!$P$3:$P$202,P57)=0,"⚠ no Finger curls session row","ok"))</f>
        <v/>
      </c>
      <c r="P57" s="15">
        <f>IF($A57="","",$A57*10+2)</f>
        <v/>
      </c>
    </row>
    <row r="58">
      <c r="A58" s="11" t="n"/>
      <c r="J58" s="13" t="n"/>
      <c r="K58" s="15">
        <f>IF($A58="","",IF(B58&lt;&gt;"",B58,COUNTIFS($P$3:P58,P58)))</f>
        <v/>
      </c>
      <c r="L58" s="14">
        <f>IF(COUNT(C58,D58)&lt;2,"",ROUND(C58*(1+D58/30),1))</f>
        <v/>
      </c>
      <c r="M58" s="14">
        <f>IF(COUNT(E58,F58)&lt;2,"",ROUND(E58*(1+F58/30),1))</f>
        <v/>
      </c>
      <c r="N58" s="14">
        <f>IF(COUNT(C58:F58)=0,"",IF(COUNT(C58,D58)=2,C58*D58,0)+IF(COUNT(E58,F58)=2,E58*F58,0))</f>
        <v/>
      </c>
      <c r="O58" s="14">
        <f>IF($A58="","",IF(COUNTIFS('Sessions'!$P$3:$P$202,P58)=0,"⚠ no Finger curls session row","ok"))</f>
        <v/>
      </c>
      <c r="P58" s="15">
        <f>IF($A58="","",$A58*10+2)</f>
        <v/>
      </c>
    </row>
    <row r="59">
      <c r="A59" s="11" t="n"/>
      <c r="J59" s="13" t="n"/>
      <c r="K59" s="15">
        <f>IF($A59="","",IF(B59&lt;&gt;"",B59,COUNTIFS($P$3:P59,P59)))</f>
        <v/>
      </c>
      <c r="L59" s="14">
        <f>IF(COUNT(C59,D59)&lt;2,"",ROUND(C59*(1+D59/30),1))</f>
        <v/>
      </c>
      <c r="M59" s="14">
        <f>IF(COUNT(E59,F59)&lt;2,"",ROUND(E59*(1+F59/30),1))</f>
        <v/>
      </c>
      <c r="N59" s="14">
        <f>IF(COUNT(C59:F59)=0,"",IF(COUNT(C59,D59)=2,C59*D59,0)+IF(COUNT(E59,F59)=2,E59*F59,0))</f>
        <v/>
      </c>
      <c r="O59" s="14">
        <f>IF($A59="","",IF(COUNTIFS('Sessions'!$P$3:$P$202,P59)=0,"⚠ no Finger curls session row","ok"))</f>
        <v/>
      </c>
      <c r="P59" s="15">
        <f>IF($A59="","",$A59*10+2)</f>
        <v/>
      </c>
    </row>
    <row r="60">
      <c r="A60" s="11" t="n"/>
      <c r="J60" s="13" t="n"/>
      <c r="K60" s="15">
        <f>IF($A60="","",IF(B60&lt;&gt;"",B60,COUNTIFS($P$3:P60,P60)))</f>
        <v/>
      </c>
      <c r="L60" s="14">
        <f>IF(COUNT(C60,D60)&lt;2,"",ROUND(C60*(1+D60/30),1))</f>
        <v/>
      </c>
      <c r="M60" s="14">
        <f>IF(COUNT(E60,F60)&lt;2,"",ROUND(E60*(1+F60/30),1))</f>
        <v/>
      </c>
      <c r="N60" s="14">
        <f>IF(COUNT(C60:F60)=0,"",IF(COUNT(C60,D60)=2,C60*D60,0)+IF(COUNT(E60,F60)=2,E60*F60,0))</f>
        <v/>
      </c>
      <c r="O60" s="14">
        <f>IF($A60="","",IF(COUNTIFS('Sessions'!$P$3:$P$202,P60)=0,"⚠ no Finger curls session row","ok"))</f>
        <v/>
      </c>
      <c r="P60" s="15">
        <f>IF($A60="","",$A60*10+2)</f>
        <v/>
      </c>
    </row>
    <row r="61">
      <c r="A61" s="11" t="n"/>
      <c r="J61" s="13" t="n"/>
      <c r="K61" s="15">
        <f>IF($A61="","",IF(B61&lt;&gt;"",B61,COUNTIFS($P$3:P61,P61)))</f>
        <v/>
      </c>
      <c r="L61" s="14">
        <f>IF(COUNT(C61,D61)&lt;2,"",ROUND(C61*(1+D61/30),1))</f>
        <v/>
      </c>
      <c r="M61" s="14">
        <f>IF(COUNT(E61,F61)&lt;2,"",ROUND(E61*(1+F61/30),1))</f>
        <v/>
      </c>
      <c r="N61" s="14">
        <f>IF(COUNT(C61:F61)=0,"",IF(COUNT(C61,D61)=2,C61*D61,0)+IF(COUNT(E61,F61)=2,E61*F61,0))</f>
        <v/>
      </c>
      <c r="O61" s="14">
        <f>IF($A61="","",IF(COUNTIFS('Sessions'!$P$3:$P$202,P61)=0,"⚠ no Finger curls session row","ok"))</f>
        <v/>
      </c>
      <c r="P61" s="15">
        <f>IF($A61="","",$A61*10+2)</f>
        <v/>
      </c>
    </row>
    <row r="62">
      <c r="A62" s="11" t="n"/>
      <c r="J62" s="13" t="n"/>
      <c r="K62" s="15">
        <f>IF($A62="","",IF(B62&lt;&gt;"",B62,COUNTIFS($P$3:P62,P62)))</f>
        <v/>
      </c>
      <c r="L62" s="14">
        <f>IF(COUNT(C62,D62)&lt;2,"",ROUND(C62*(1+D62/30),1))</f>
        <v/>
      </c>
      <c r="M62" s="14">
        <f>IF(COUNT(E62,F62)&lt;2,"",ROUND(E62*(1+F62/30),1))</f>
        <v/>
      </c>
      <c r="N62" s="14">
        <f>IF(COUNT(C62:F62)=0,"",IF(COUNT(C62,D62)=2,C62*D62,0)+IF(COUNT(E62,F62)=2,E62*F62,0))</f>
        <v/>
      </c>
      <c r="O62" s="14">
        <f>IF($A62="","",IF(COUNTIFS('Sessions'!$P$3:$P$202,P62)=0,"⚠ no Finger curls session row","ok"))</f>
        <v/>
      </c>
      <c r="P62" s="15">
        <f>IF($A62="","",$A62*10+2)</f>
        <v/>
      </c>
    </row>
    <row r="63">
      <c r="A63" s="11" t="n"/>
      <c r="J63" s="13" t="n"/>
      <c r="K63" s="15">
        <f>IF($A63="","",IF(B63&lt;&gt;"",B63,COUNTIFS($P$3:P63,P63)))</f>
        <v/>
      </c>
      <c r="L63" s="14">
        <f>IF(COUNT(C63,D63)&lt;2,"",ROUND(C63*(1+D63/30),1))</f>
        <v/>
      </c>
      <c r="M63" s="14">
        <f>IF(COUNT(E63,F63)&lt;2,"",ROUND(E63*(1+F63/30),1))</f>
        <v/>
      </c>
      <c r="N63" s="14">
        <f>IF(COUNT(C63:F63)=0,"",IF(COUNT(C63,D63)=2,C63*D63,0)+IF(COUNT(E63,F63)=2,E63*F63,0))</f>
        <v/>
      </c>
      <c r="O63" s="14">
        <f>IF($A63="","",IF(COUNTIFS('Sessions'!$P$3:$P$202,P63)=0,"⚠ no Finger curls session row","ok"))</f>
        <v/>
      </c>
      <c r="P63" s="15">
        <f>IF($A63="","",$A63*10+2)</f>
        <v/>
      </c>
    </row>
    <row r="64">
      <c r="A64" s="11" t="n"/>
      <c r="J64" s="13" t="n"/>
      <c r="K64" s="15">
        <f>IF($A64="","",IF(B64&lt;&gt;"",B64,COUNTIFS($P$3:P64,P64)))</f>
        <v/>
      </c>
      <c r="L64" s="14">
        <f>IF(COUNT(C64,D64)&lt;2,"",ROUND(C64*(1+D64/30),1))</f>
        <v/>
      </c>
      <c r="M64" s="14">
        <f>IF(COUNT(E64,F64)&lt;2,"",ROUND(E64*(1+F64/30),1))</f>
        <v/>
      </c>
      <c r="N64" s="14">
        <f>IF(COUNT(C64:F64)=0,"",IF(COUNT(C64,D64)=2,C64*D64,0)+IF(COUNT(E64,F64)=2,E64*F64,0))</f>
        <v/>
      </c>
      <c r="O64" s="14">
        <f>IF($A64="","",IF(COUNTIFS('Sessions'!$P$3:$P$202,P64)=0,"⚠ no Finger curls session row","ok"))</f>
        <v/>
      </c>
      <c r="P64" s="15">
        <f>IF($A64="","",$A64*10+2)</f>
        <v/>
      </c>
    </row>
    <row r="65">
      <c r="A65" s="11" t="n"/>
      <c r="J65" s="13" t="n"/>
      <c r="K65" s="15">
        <f>IF($A65="","",IF(B65&lt;&gt;"",B65,COUNTIFS($P$3:P65,P65)))</f>
        <v/>
      </c>
      <c r="L65" s="14">
        <f>IF(COUNT(C65,D65)&lt;2,"",ROUND(C65*(1+D65/30),1))</f>
        <v/>
      </c>
      <c r="M65" s="14">
        <f>IF(COUNT(E65,F65)&lt;2,"",ROUND(E65*(1+F65/30),1))</f>
        <v/>
      </c>
      <c r="N65" s="14">
        <f>IF(COUNT(C65:F65)=0,"",IF(COUNT(C65,D65)=2,C65*D65,0)+IF(COUNT(E65,F65)=2,E65*F65,0))</f>
        <v/>
      </c>
      <c r="O65" s="14">
        <f>IF($A65="","",IF(COUNTIFS('Sessions'!$P$3:$P$202,P65)=0,"⚠ no Finger curls session row","ok"))</f>
        <v/>
      </c>
      <c r="P65" s="15">
        <f>IF($A65="","",$A65*10+2)</f>
        <v/>
      </c>
    </row>
    <row r="66">
      <c r="A66" s="11" t="n"/>
      <c r="J66" s="13" t="n"/>
      <c r="K66" s="15">
        <f>IF($A66="","",IF(B66&lt;&gt;"",B66,COUNTIFS($P$3:P66,P66)))</f>
        <v/>
      </c>
      <c r="L66" s="14">
        <f>IF(COUNT(C66,D66)&lt;2,"",ROUND(C66*(1+D66/30),1))</f>
        <v/>
      </c>
      <c r="M66" s="14">
        <f>IF(COUNT(E66,F66)&lt;2,"",ROUND(E66*(1+F66/30),1))</f>
        <v/>
      </c>
      <c r="N66" s="14">
        <f>IF(COUNT(C66:F66)=0,"",IF(COUNT(C66,D66)=2,C66*D66,0)+IF(COUNT(E66,F66)=2,E66*F66,0))</f>
        <v/>
      </c>
      <c r="O66" s="14">
        <f>IF($A66="","",IF(COUNTIFS('Sessions'!$P$3:$P$202,P66)=0,"⚠ no Finger curls session row","ok"))</f>
        <v/>
      </c>
      <c r="P66" s="15">
        <f>IF($A66="","",$A66*10+2)</f>
        <v/>
      </c>
    </row>
    <row r="67">
      <c r="A67" s="11" t="n"/>
      <c r="J67" s="13" t="n"/>
      <c r="K67" s="15">
        <f>IF($A67="","",IF(B67&lt;&gt;"",B67,COUNTIFS($P$3:P67,P67)))</f>
        <v/>
      </c>
      <c r="L67" s="14">
        <f>IF(COUNT(C67,D67)&lt;2,"",ROUND(C67*(1+D67/30),1))</f>
        <v/>
      </c>
      <c r="M67" s="14">
        <f>IF(COUNT(E67,F67)&lt;2,"",ROUND(E67*(1+F67/30),1))</f>
        <v/>
      </c>
      <c r="N67" s="14">
        <f>IF(COUNT(C67:F67)=0,"",IF(COUNT(C67,D67)=2,C67*D67,0)+IF(COUNT(E67,F67)=2,E67*F67,0))</f>
        <v/>
      </c>
      <c r="O67" s="14">
        <f>IF($A67="","",IF(COUNTIFS('Sessions'!$P$3:$P$202,P67)=0,"⚠ no Finger curls session row","ok"))</f>
        <v/>
      </c>
      <c r="P67" s="15">
        <f>IF($A67="","",$A67*10+2)</f>
        <v/>
      </c>
    </row>
    <row r="68">
      <c r="A68" s="11" t="n"/>
      <c r="J68" s="13" t="n"/>
      <c r="K68" s="15">
        <f>IF($A68="","",IF(B68&lt;&gt;"",B68,COUNTIFS($P$3:P68,P68)))</f>
        <v/>
      </c>
      <c r="L68" s="14">
        <f>IF(COUNT(C68,D68)&lt;2,"",ROUND(C68*(1+D68/30),1))</f>
        <v/>
      </c>
      <c r="M68" s="14">
        <f>IF(COUNT(E68,F68)&lt;2,"",ROUND(E68*(1+F68/30),1))</f>
        <v/>
      </c>
      <c r="N68" s="14">
        <f>IF(COUNT(C68:F68)=0,"",IF(COUNT(C68,D68)=2,C68*D68,0)+IF(COUNT(E68,F68)=2,E68*F68,0))</f>
        <v/>
      </c>
      <c r="O68" s="14">
        <f>IF($A68="","",IF(COUNTIFS('Sessions'!$P$3:$P$202,P68)=0,"⚠ no Finger curls session row","ok"))</f>
        <v/>
      </c>
      <c r="P68" s="15">
        <f>IF($A68="","",$A68*10+2)</f>
        <v/>
      </c>
    </row>
    <row r="69">
      <c r="A69" s="11" t="n"/>
      <c r="J69" s="13" t="n"/>
      <c r="K69" s="15">
        <f>IF($A69="","",IF(B69&lt;&gt;"",B69,COUNTIFS($P$3:P69,P69)))</f>
        <v/>
      </c>
      <c r="L69" s="14">
        <f>IF(COUNT(C69,D69)&lt;2,"",ROUND(C69*(1+D69/30),1))</f>
        <v/>
      </c>
      <c r="M69" s="14">
        <f>IF(COUNT(E69,F69)&lt;2,"",ROUND(E69*(1+F69/30),1))</f>
        <v/>
      </c>
      <c r="N69" s="14">
        <f>IF(COUNT(C69:F69)=0,"",IF(COUNT(C69,D69)=2,C69*D69,0)+IF(COUNT(E69,F69)=2,E69*F69,0))</f>
        <v/>
      </c>
      <c r="O69" s="14">
        <f>IF($A69="","",IF(COUNTIFS('Sessions'!$P$3:$P$202,P69)=0,"⚠ no Finger curls session row","ok"))</f>
        <v/>
      </c>
      <c r="P69" s="15">
        <f>IF($A69="","",$A69*10+2)</f>
        <v/>
      </c>
    </row>
    <row r="70">
      <c r="A70" s="11" t="n"/>
      <c r="J70" s="13" t="n"/>
      <c r="K70" s="15">
        <f>IF($A70="","",IF(B70&lt;&gt;"",B70,COUNTIFS($P$3:P70,P70)))</f>
        <v/>
      </c>
      <c r="L70" s="14">
        <f>IF(COUNT(C70,D70)&lt;2,"",ROUND(C70*(1+D70/30),1))</f>
        <v/>
      </c>
      <c r="M70" s="14">
        <f>IF(COUNT(E70,F70)&lt;2,"",ROUND(E70*(1+F70/30),1))</f>
        <v/>
      </c>
      <c r="N70" s="14">
        <f>IF(COUNT(C70:F70)=0,"",IF(COUNT(C70,D70)=2,C70*D70,0)+IF(COUNT(E70,F70)=2,E70*F70,0))</f>
        <v/>
      </c>
      <c r="O70" s="14">
        <f>IF($A70="","",IF(COUNTIFS('Sessions'!$P$3:$P$202,P70)=0,"⚠ no Finger curls session row","ok"))</f>
        <v/>
      </c>
      <c r="P70" s="15">
        <f>IF($A70="","",$A70*10+2)</f>
        <v/>
      </c>
    </row>
    <row r="71">
      <c r="A71" s="11" t="n"/>
      <c r="J71" s="13" t="n"/>
      <c r="K71" s="15">
        <f>IF($A71="","",IF(B71&lt;&gt;"",B71,COUNTIFS($P$3:P71,P71)))</f>
        <v/>
      </c>
      <c r="L71" s="14">
        <f>IF(COUNT(C71,D71)&lt;2,"",ROUND(C71*(1+D71/30),1))</f>
        <v/>
      </c>
      <c r="M71" s="14">
        <f>IF(COUNT(E71,F71)&lt;2,"",ROUND(E71*(1+F71/30),1))</f>
        <v/>
      </c>
      <c r="N71" s="14">
        <f>IF(COUNT(C71:F71)=0,"",IF(COUNT(C71,D71)=2,C71*D71,0)+IF(COUNT(E71,F71)=2,E71*F71,0))</f>
        <v/>
      </c>
      <c r="O71" s="14">
        <f>IF($A71="","",IF(COUNTIFS('Sessions'!$P$3:$P$202,P71)=0,"⚠ no Finger curls session row","ok"))</f>
        <v/>
      </c>
      <c r="P71" s="15">
        <f>IF($A71="","",$A71*10+2)</f>
        <v/>
      </c>
    </row>
    <row r="72">
      <c r="A72" s="11" t="n"/>
      <c r="J72" s="13" t="n"/>
      <c r="K72" s="15">
        <f>IF($A72="","",IF(B72&lt;&gt;"",B72,COUNTIFS($P$3:P72,P72)))</f>
        <v/>
      </c>
      <c r="L72" s="14">
        <f>IF(COUNT(C72,D72)&lt;2,"",ROUND(C72*(1+D72/30),1))</f>
        <v/>
      </c>
      <c r="M72" s="14">
        <f>IF(COUNT(E72,F72)&lt;2,"",ROUND(E72*(1+F72/30),1))</f>
        <v/>
      </c>
      <c r="N72" s="14">
        <f>IF(COUNT(C72:F72)=0,"",IF(COUNT(C72,D72)=2,C72*D72,0)+IF(COUNT(E72,F72)=2,E72*F72,0))</f>
        <v/>
      </c>
      <c r="O72" s="14">
        <f>IF($A72="","",IF(COUNTIFS('Sessions'!$P$3:$P$202,P72)=0,"⚠ no Finger curls session row","ok"))</f>
        <v/>
      </c>
      <c r="P72" s="15">
        <f>IF($A72="","",$A72*10+2)</f>
        <v/>
      </c>
    </row>
    <row r="73">
      <c r="A73" s="11" t="n"/>
      <c r="J73" s="13" t="n"/>
      <c r="K73" s="15">
        <f>IF($A73="","",IF(B73&lt;&gt;"",B73,COUNTIFS($P$3:P73,P73)))</f>
        <v/>
      </c>
      <c r="L73" s="14">
        <f>IF(COUNT(C73,D73)&lt;2,"",ROUND(C73*(1+D73/30),1))</f>
        <v/>
      </c>
      <c r="M73" s="14">
        <f>IF(COUNT(E73,F73)&lt;2,"",ROUND(E73*(1+F73/30),1))</f>
        <v/>
      </c>
      <c r="N73" s="14">
        <f>IF(COUNT(C73:F73)=0,"",IF(COUNT(C73,D73)=2,C73*D73,0)+IF(COUNT(E73,F73)=2,E73*F73,0))</f>
        <v/>
      </c>
      <c r="O73" s="14">
        <f>IF($A73="","",IF(COUNTIFS('Sessions'!$P$3:$P$202,P73)=0,"⚠ no Finger curls session row","ok"))</f>
        <v/>
      </c>
      <c r="P73" s="15">
        <f>IF($A73="","",$A73*10+2)</f>
        <v/>
      </c>
    </row>
    <row r="74">
      <c r="A74" s="11" t="n"/>
      <c r="J74" s="13" t="n"/>
      <c r="K74" s="15">
        <f>IF($A74="","",IF(B74&lt;&gt;"",B74,COUNTIFS($P$3:P74,P74)))</f>
        <v/>
      </c>
      <c r="L74" s="14">
        <f>IF(COUNT(C74,D74)&lt;2,"",ROUND(C74*(1+D74/30),1))</f>
        <v/>
      </c>
      <c r="M74" s="14">
        <f>IF(COUNT(E74,F74)&lt;2,"",ROUND(E74*(1+F74/30),1))</f>
        <v/>
      </c>
      <c r="N74" s="14">
        <f>IF(COUNT(C74:F74)=0,"",IF(COUNT(C74,D74)=2,C74*D74,0)+IF(COUNT(E74,F74)=2,E74*F74,0))</f>
        <v/>
      </c>
      <c r="O74" s="14">
        <f>IF($A74="","",IF(COUNTIFS('Sessions'!$P$3:$P$202,P74)=0,"⚠ no Finger curls session row","ok"))</f>
        <v/>
      </c>
      <c r="P74" s="15">
        <f>IF($A74="","",$A74*10+2)</f>
        <v/>
      </c>
    </row>
    <row r="75">
      <c r="A75" s="11" t="n"/>
      <c r="J75" s="13" t="n"/>
      <c r="K75" s="15">
        <f>IF($A75="","",IF(B75&lt;&gt;"",B75,COUNTIFS($P$3:P75,P75)))</f>
        <v/>
      </c>
      <c r="L75" s="14">
        <f>IF(COUNT(C75,D75)&lt;2,"",ROUND(C75*(1+D75/30),1))</f>
        <v/>
      </c>
      <c r="M75" s="14">
        <f>IF(COUNT(E75,F75)&lt;2,"",ROUND(E75*(1+F75/30),1))</f>
        <v/>
      </c>
      <c r="N75" s="14">
        <f>IF(COUNT(C75:F75)=0,"",IF(COUNT(C75,D75)=2,C75*D75,0)+IF(COUNT(E75,F75)=2,E75*F75,0))</f>
        <v/>
      </c>
      <c r="O75" s="14">
        <f>IF($A75="","",IF(COUNTIFS('Sessions'!$P$3:$P$202,P75)=0,"⚠ no Finger curls session row","ok"))</f>
        <v/>
      </c>
      <c r="P75" s="15">
        <f>IF($A75="","",$A75*10+2)</f>
        <v/>
      </c>
    </row>
    <row r="76">
      <c r="A76" s="11" t="n"/>
      <c r="J76" s="13" t="n"/>
      <c r="K76" s="15">
        <f>IF($A76="","",IF(B76&lt;&gt;"",B76,COUNTIFS($P$3:P76,P76)))</f>
        <v/>
      </c>
      <c r="L76" s="14">
        <f>IF(COUNT(C76,D76)&lt;2,"",ROUND(C76*(1+D76/30),1))</f>
        <v/>
      </c>
      <c r="M76" s="14">
        <f>IF(COUNT(E76,F76)&lt;2,"",ROUND(E76*(1+F76/30),1))</f>
        <v/>
      </c>
      <c r="N76" s="14">
        <f>IF(COUNT(C76:F76)=0,"",IF(COUNT(C76,D76)=2,C76*D76,0)+IF(COUNT(E76,F76)=2,E76*F76,0))</f>
        <v/>
      </c>
      <c r="O76" s="14">
        <f>IF($A76="","",IF(COUNTIFS('Sessions'!$P$3:$P$202,P76)=0,"⚠ no Finger curls session row","ok"))</f>
        <v/>
      </c>
      <c r="P76" s="15">
        <f>IF($A76="","",$A76*10+2)</f>
        <v/>
      </c>
    </row>
    <row r="77">
      <c r="A77" s="11" t="n"/>
      <c r="J77" s="13" t="n"/>
      <c r="K77" s="15">
        <f>IF($A77="","",IF(B77&lt;&gt;"",B77,COUNTIFS($P$3:P77,P77)))</f>
        <v/>
      </c>
      <c r="L77" s="14">
        <f>IF(COUNT(C77,D77)&lt;2,"",ROUND(C77*(1+D77/30),1))</f>
        <v/>
      </c>
      <c r="M77" s="14">
        <f>IF(COUNT(E77,F77)&lt;2,"",ROUND(E77*(1+F77/30),1))</f>
        <v/>
      </c>
      <c r="N77" s="14">
        <f>IF(COUNT(C77:F77)=0,"",IF(COUNT(C77,D77)=2,C77*D77,0)+IF(COUNT(E77,F77)=2,E77*F77,0))</f>
        <v/>
      </c>
      <c r="O77" s="14">
        <f>IF($A77="","",IF(COUNTIFS('Sessions'!$P$3:$P$202,P77)=0,"⚠ no Finger curls session row","ok"))</f>
        <v/>
      </c>
      <c r="P77" s="15">
        <f>IF($A77="","",$A77*10+2)</f>
        <v/>
      </c>
    </row>
    <row r="78">
      <c r="A78" s="11" t="n"/>
      <c r="J78" s="13" t="n"/>
      <c r="K78" s="15">
        <f>IF($A78="","",IF(B78&lt;&gt;"",B78,COUNTIFS($P$3:P78,P78)))</f>
        <v/>
      </c>
      <c r="L78" s="14">
        <f>IF(COUNT(C78,D78)&lt;2,"",ROUND(C78*(1+D78/30),1))</f>
        <v/>
      </c>
      <c r="M78" s="14">
        <f>IF(COUNT(E78,F78)&lt;2,"",ROUND(E78*(1+F78/30),1))</f>
        <v/>
      </c>
      <c r="N78" s="14">
        <f>IF(COUNT(C78:F78)=0,"",IF(COUNT(C78,D78)=2,C78*D78,0)+IF(COUNT(E78,F78)=2,E78*F78,0))</f>
        <v/>
      </c>
      <c r="O78" s="14">
        <f>IF($A78="","",IF(COUNTIFS('Sessions'!$P$3:$P$202,P78)=0,"⚠ no Finger curls session row","ok"))</f>
        <v/>
      </c>
      <c r="P78" s="15">
        <f>IF($A78="","",$A78*10+2)</f>
        <v/>
      </c>
    </row>
    <row r="79">
      <c r="A79" s="11" t="n"/>
      <c r="J79" s="13" t="n"/>
      <c r="K79" s="15">
        <f>IF($A79="","",IF(B79&lt;&gt;"",B79,COUNTIFS($P$3:P79,P79)))</f>
        <v/>
      </c>
      <c r="L79" s="14">
        <f>IF(COUNT(C79,D79)&lt;2,"",ROUND(C79*(1+D79/30),1))</f>
        <v/>
      </c>
      <c r="M79" s="14">
        <f>IF(COUNT(E79,F79)&lt;2,"",ROUND(E79*(1+F79/30),1))</f>
        <v/>
      </c>
      <c r="N79" s="14">
        <f>IF(COUNT(C79:F79)=0,"",IF(COUNT(C79,D79)=2,C79*D79,0)+IF(COUNT(E79,F79)=2,E79*F79,0))</f>
        <v/>
      </c>
      <c r="O79" s="14">
        <f>IF($A79="","",IF(COUNTIFS('Sessions'!$P$3:$P$202,P79)=0,"⚠ no Finger curls session row","ok"))</f>
        <v/>
      </c>
      <c r="P79" s="15">
        <f>IF($A79="","",$A79*10+2)</f>
        <v/>
      </c>
    </row>
    <row r="80">
      <c r="A80" s="11" t="n"/>
      <c r="J80" s="13" t="n"/>
      <c r="K80" s="15">
        <f>IF($A80="","",IF(B80&lt;&gt;"",B80,COUNTIFS($P$3:P80,P80)))</f>
        <v/>
      </c>
      <c r="L80" s="14">
        <f>IF(COUNT(C80,D80)&lt;2,"",ROUND(C80*(1+D80/30),1))</f>
        <v/>
      </c>
      <c r="M80" s="14">
        <f>IF(COUNT(E80,F80)&lt;2,"",ROUND(E80*(1+F80/30),1))</f>
        <v/>
      </c>
      <c r="N80" s="14">
        <f>IF(COUNT(C80:F80)=0,"",IF(COUNT(C80,D80)=2,C80*D80,0)+IF(COUNT(E80,F80)=2,E80*F80,0))</f>
        <v/>
      </c>
      <c r="O80" s="14">
        <f>IF($A80="","",IF(COUNTIFS('Sessions'!$P$3:$P$202,P80)=0,"⚠ no Finger curls session row","ok"))</f>
        <v/>
      </c>
      <c r="P80" s="15">
        <f>IF($A80="","",$A80*10+2)</f>
        <v/>
      </c>
    </row>
    <row r="81">
      <c r="A81" s="11" t="n"/>
      <c r="J81" s="13" t="n"/>
      <c r="K81" s="15">
        <f>IF($A81="","",IF(B81&lt;&gt;"",B81,COUNTIFS($P$3:P81,P81)))</f>
        <v/>
      </c>
      <c r="L81" s="14">
        <f>IF(COUNT(C81,D81)&lt;2,"",ROUND(C81*(1+D81/30),1))</f>
        <v/>
      </c>
      <c r="M81" s="14">
        <f>IF(COUNT(E81,F81)&lt;2,"",ROUND(E81*(1+F81/30),1))</f>
        <v/>
      </c>
      <c r="N81" s="14">
        <f>IF(COUNT(C81:F81)=0,"",IF(COUNT(C81,D81)=2,C81*D81,0)+IF(COUNT(E81,F81)=2,E81*F81,0))</f>
        <v/>
      </c>
      <c r="O81" s="14">
        <f>IF($A81="","",IF(COUNTIFS('Sessions'!$P$3:$P$202,P81)=0,"⚠ no Finger curls session row","ok"))</f>
        <v/>
      </c>
      <c r="P81" s="15">
        <f>IF($A81="","",$A81*10+2)</f>
        <v/>
      </c>
    </row>
    <row r="82">
      <c r="A82" s="11" t="n"/>
      <c r="J82" s="13" t="n"/>
      <c r="K82" s="15">
        <f>IF($A82="","",IF(B82&lt;&gt;"",B82,COUNTIFS($P$3:P82,P82)))</f>
        <v/>
      </c>
      <c r="L82" s="14">
        <f>IF(COUNT(C82,D82)&lt;2,"",ROUND(C82*(1+D82/30),1))</f>
        <v/>
      </c>
      <c r="M82" s="14">
        <f>IF(COUNT(E82,F82)&lt;2,"",ROUND(E82*(1+F82/30),1))</f>
        <v/>
      </c>
      <c r="N82" s="14">
        <f>IF(COUNT(C82:F82)=0,"",IF(COUNT(C82,D82)=2,C82*D82,0)+IF(COUNT(E82,F82)=2,E82*F82,0))</f>
        <v/>
      </c>
      <c r="O82" s="14">
        <f>IF($A82="","",IF(COUNTIFS('Sessions'!$P$3:$P$202,P82)=0,"⚠ no Finger curls session row","ok"))</f>
        <v/>
      </c>
      <c r="P82" s="15">
        <f>IF($A82="","",$A82*10+2)</f>
        <v/>
      </c>
    </row>
    <row r="83">
      <c r="A83" s="11" t="n"/>
      <c r="J83" s="13" t="n"/>
      <c r="K83" s="15">
        <f>IF($A83="","",IF(B83&lt;&gt;"",B83,COUNTIFS($P$3:P83,P83)))</f>
        <v/>
      </c>
      <c r="L83" s="14">
        <f>IF(COUNT(C83,D83)&lt;2,"",ROUND(C83*(1+D83/30),1))</f>
        <v/>
      </c>
      <c r="M83" s="14">
        <f>IF(COUNT(E83,F83)&lt;2,"",ROUND(E83*(1+F83/30),1))</f>
        <v/>
      </c>
      <c r="N83" s="14">
        <f>IF(COUNT(C83:F83)=0,"",IF(COUNT(C83,D83)=2,C83*D83,0)+IF(COUNT(E83,F83)=2,E83*F83,0))</f>
        <v/>
      </c>
      <c r="O83" s="14">
        <f>IF($A83="","",IF(COUNTIFS('Sessions'!$P$3:$P$202,P83)=0,"⚠ no Finger curls session row","ok"))</f>
        <v/>
      </c>
      <c r="P83" s="15">
        <f>IF($A83="","",$A83*10+2)</f>
        <v/>
      </c>
    </row>
    <row r="84">
      <c r="A84" s="11" t="n"/>
      <c r="J84" s="13" t="n"/>
      <c r="K84" s="15">
        <f>IF($A84="","",IF(B84&lt;&gt;"",B84,COUNTIFS($P$3:P84,P84)))</f>
        <v/>
      </c>
      <c r="L84" s="14">
        <f>IF(COUNT(C84,D84)&lt;2,"",ROUND(C84*(1+D84/30),1))</f>
        <v/>
      </c>
      <c r="M84" s="14">
        <f>IF(COUNT(E84,F84)&lt;2,"",ROUND(E84*(1+F84/30),1))</f>
        <v/>
      </c>
      <c r="N84" s="14">
        <f>IF(COUNT(C84:F84)=0,"",IF(COUNT(C84,D84)=2,C84*D84,0)+IF(COUNT(E84,F84)=2,E84*F84,0))</f>
        <v/>
      </c>
      <c r="O84" s="14">
        <f>IF($A84="","",IF(COUNTIFS('Sessions'!$P$3:$P$202,P84)=0,"⚠ no Finger curls session row","ok"))</f>
        <v/>
      </c>
      <c r="P84" s="15">
        <f>IF($A84="","",$A84*10+2)</f>
        <v/>
      </c>
    </row>
    <row r="85">
      <c r="A85" s="11" t="n"/>
      <c r="J85" s="13" t="n"/>
      <c r="K85" s="15">
        <f>IF($A85="","",IF(B85&lt;&gt;"",B85,COUNTIFS($P$3:P85,P85)))</f>
        <v/>
      </c>
      <c r="L85" s="14">
        <f>IF(COUNT(C85,D85)&lt;2,"",ROUND(C85*(1+D85/30),1))</f>
        <v/>
      </c>
      <c r="M85" s="14">
        <f>IF(COUNT(E85,F85)&lt;2,"",ROUND(E85*(1+F85/30),1))</f>
        <v/>
      </c>
      <c r="N85" s="14">
        <f>IF(COUNT(C85:F85)=0,"",IF(COUNT(C85,D85)=2,C85*D85,0)+IF(COUNT(E85,F85)=2,E85*F85,0))</f>
        <v/>
      </c>
      <c r="O85" s="14">
        <f>IF($A85="","",IF(COUNTIFS('Sessions'!$P$3:$P$202,P85)=0,"⚠ no Finger curls session row","ok"))</f>
        <v/>
      </c>
      <c r="P85" s="15">
        <f>IF($A85="","",$A85*10+2)</f>
        <v/>
      </c>
    </row>
    <row r="86">
      <c r="A86" s="11" t="n"/>
      <c r="J86" s="13" t="n"/>
      <c r="K86" s="15">
        <f>IF($A86="","",IF(B86&lt;&gt;"",B86,COUNTIFS($P$3:P86,P86)))</f>
        <v/>
      </c>
      <c r="L86" s="14">
        <f>IF(COUNT(C86,D86)&lt;2,"",ROUND(C86*(1+D86/30),1))</f>
        <v/>
      </c>
      <c r="M86" s="14">
        <f>IF(COUNT(E86,F86)&lt;2,"",ROUND(E86*(1+F86/30),1))</f>
        <v/>
      </c>
      <c r="N86" s="14">
        <f>IF(COUNT(C86:F86)=0,"",IF(COUNT(C86,D86)=2,C86*D86,0)+IF(COUNT(E86,F86)=2,E86*F86,0))</f>
        <v/>
      </c>
      <c r="O86" s="14">
        <f>IF($A86="","",IF(COUNTIFS('Sessions'!$P$3:$P$202,P86)=0,"⚠ no Finger curls session row","ok"))</f>
        <v/>
      </c>
      <c r="P86" s="15">
        <f>IF($A86="","",$A86*10+2)</f>
        <v/>
      </c>
    </row>
    <row r="87">
      <c r="A87" s="11" t="n"/>
      <c r="J87" s="13" t="n"/>
      <c r="K87" s="15">
        <f>IF($A87="","",IF(B87&lt;&gt;"",B87,COUNTIFS($P$3:P87,P87)))</f>
        <v/>
      </c>
      <c r="L87" s="14">
        <f>IF(COUNT(C87,D87)&lt;2,"",ROUND(C87*(1+D87/30),1))</f>
        <v/>
      </c>
      <c r="M87" s="14">
        <f>IF(COUNT(E87,F87)&lt;2,"",ROUND(E87*(1+F87/30),1))</f>
        <v/>
      </c>
      <c r="N87" s="14">
        <f>IF(COUNT(C87:F87)=0,"",IF(COUNT(C87,D87)=2,C87*D87,0)+IF(COUNT(E87,F87)=2,E87*F87,0))</f>
        <v/>
      </c>
      <c r="O87" s="14">
        <f>IF($A87="","",IF(COUNTIFS('Sessions'!$P$3:$P$202,P87)=0,"⚠ no Finger curls session row","ok"))</f>
        <v/>
      </c>
      <c r="P87" s="15">
        <f>IF($A87="","",$A87*10+2)</f>
        <v/>
      </c>
    </row>
    <row r="88">
      <c r="A88" s="11" t="n"/>
      <c r="J88" s="13" t="n"/>
      <c r="K88" s="15">
        <f>IF($A88="","",IF(B88&lt;&gt;"",B88,COUNTIFS($P$3:P88,P88)))</f>
        <v/>
      </c>
      <c r="L88" s="14">
        <f>IF(COUNT(C88,D88)&lt;2,"",ROUND(C88*(1+D88/30),1))</f>
        <v/>
      </c>
      <c r="M88" s="14">
        <f>IF(COUNT(E88,F88)&lt;2,"",ROUND(E88*(1+F88/30),1))</f>
        <v/>
      </c>
      <c r="N88" s="14">
        <f>IF(COUNT(C88:F88)=0,"",IF(COUNT(C88,D88)=2,C88*D88,0)+IF(COUNT(E88,F88)=2,E88*F88,0))</f>
        <v/>
      </c>
      <c r="O88" s="14">
        <f>IF($A88="","",IF(COUNTIFS('Sessions'!$P$3:$P$202,P88)=0,"⚠ no Finger curls session row","ok"))</f>
        <v/>
      </c>
      <c r="P88" s="15">
        <f>IF($A88="","",$A88*10+2)</f>
        <v/>
      </c>
    </row>
    <row r="89">
      <c r="A89" s="11" t="n"/>
      <c r="J89" s="13" t="n"/>
      <c r="K89" s="15">
        <f>IF($A89="","",IF(B89&lt;&gt;"",B89,COUNTIFS($P$3:P89,P89)))</f>
        <v/>
      </c>
      <c r="L89" s="14">
        <f>IF(COUNT(C89,D89)&lt;2,"",ROUND(C89*(1+D89/30),1))</f>
        <v/>
      </c>
      <c r="M89" s="14">
        <f>IF(COUNT(E89,F89)&lt;2,"",ROUND(E89*(1+F89/30),1))</f>
        <v/>
      </c>
      <c r="N89" s="14">
        <f>IF(COUNT(C89:F89)=0,"",IF(COUNT(C89,D89)=2,C89*D89,0)+IF(COUNT(E89,F89)=2,E89*F89,0))</f>
        <v/>
      </c>
      <c r="O89" s="14">
        <f>IF($A89="","",IF(COUNTIFS('Sessions'!$P$3:$P$202,P89)=0,"⚠ no Finger curls session row","ok"))</f>
        <v/>
      </c>
      <c r="P89" s="15">
        <f>IF($A89="","",$A89*10+2)</f>
        <v/>
      </c>
    </row>
    <row r="90">
      <c r="A90" s="11" t="n"/>
      <c r="J90" s="13" t="n"/>
      <c r="K90" s="15">
        <f>IF($A90="","",IF(B90&lt;&gt;"",B90,COUNTIFS($P$3:P90,P90)))</f>
        <v/>
      </c>
      <c r="L90" s="14">
        <f>IF(COUNT(C90,D90)&lt;2,"",ROUND(C90*(1+D90/30),1))</f>
        <v/>
      </c>
      <c r="M90" s="14">
        <f>IF(COUNT(E90,F90)&lt;2,"",ROUND(E90*(1+F90/30),1))</f>
        <v/>
      </c>
      <c r="N90" s="14">
        <f>IF(COUNT(C90:F90)=0,"",IF(COUNT(C90,D90)=2,C90*D90,0)+IF(COUNT(E90,F90)=2,E90*F90,0))</f>
        <v/>
      </c>
      <c r="O90" s="14">
        <f>IF($A90="","",IF(COUNTIFS('Sessions'!$P$3:$P$202,P90)=0,"⚠ no Finger curls session row","ok"))</f>
        <v/>
      </c>
      <c r="P90" s="15">
        <f>IF($A90="","",$A90*10+2)</f>
        <v/>
      </c>
    </row>
    <row r="91">
      <c r="A91" s="11" t="n"/>
      <c r="J91" s="13" t="n"/>
      <c r="K91" s="15">
        <f>IF($A91="","",IF(B91&lt;&gt;"",B91,COUNTIFS($P$3:P91,P91)))</f>
        <v/>
      </c>
      <c r="L91" s="14">
        <f>IF(COUNT(C91,D91)&lt;2,"",ROUND(C91*(1+D91/30),1))</f>
        <v/>
      </c>
      <c r="M91" s="14">
        <f>IF(COUNT(E91,F91)&lt;2,"",ROUND(E91*(1+F91/30),1))</f>
        <v/>
      </c>
      <c r="N91" s="14">
        <f>IF(COUNT(C91:F91)=0,"",IF(COUNT(C91,D91)=2,C91*D91,0)+IF(COUNT(E91,F91)=2,E91*F91,0))</f>
        <v/>
      </c>
      <c r="O91" s="14">
        <f>IF($A91="","",IF(COUNTIFS('Sessions'!$P$3:$P$202,P91)=0,"⚠ no Finger curls session row","ok"))</f>
        <v/>
      </c>
      <c r="P91" s="15">
        <f>IF($A91="","",$A91*10+2)</f>
        <v/>
      </c>
    </row>
    <row r="92">
      <c r="A92" s="11" t="n"/>
      <c r="J92" s="13" t="n"/>
      <c r="K92" s="15">
        <f>IF($A92="","",IF(B92&lt;&gt;"",B92,COUNTIFS($P$3:P92,P92)))</f>
        <v/>
      </c>
      <c r="L92" s="14">
        <f>IF(COUNT(C92,D92)&lt;2,"",ROUND(C92*(1+D92/30),1))</f>
        <v/>
      </c>
      <c r="M92" s="14">
        <f>IF(COUNT(E92,F92)&lt;2,"",ROUND(E92*(1+F92/30),1))</f>
        <v/>
      </c>
      <c r="N92" s="14">
        <f>IF(COUNT(C92:F92)=0,"",IF(COUNT(C92,D92)=2,C92*D92,0)+IF(COUNT(E92,F92)=2,E92*F92,0))</f>
        <v/>
      </c>
      <c r="O92" s="14">
        <f>IF($A92="","",IF(COUNTIFS('Sessions'!$P$3:$P$202,P92)=0,"⚠ no Finger curls session row","ok"))</f>
        <v/>
      </c>
      <c r="P92" s="15">
        <f>IF($A92="","",$A92*10+2)</f>
        <v/>
      </c>
    </row>
    <row r="93">
      <c r="A93" s="11" t="n"/>
      <c r="J93" s="13" t="n"/>
      <c r="K93" s="15">
        <f>IF($A93="","",IF(B93&lt;&gt;"",B93,COUNTIFS($P$3:P93,P93)))</f>
        <v/>
      </c>
      <c r="L93" s="14">
        <f>IF(COUNT(C93,D93)&lt;2,"",ROUND(C93*(1+D93/30),1))</f>
        <v/>
      </c>
      <c r="M93" s="14">
        <f>IF(COUNT(E93,F93)&lt;2,"",ROUND(E93*(1+F93/30),1))</f>
        <v/>
      </c>
      <c r="N93" s="14">
        <f>IF(COUNT(C93:F93)=0,"",IF(COUNT(C93,D93)=2,C93*D93,0)+IF(COUNT(E93,F93)=2,E93*F93,0))</f>
        <v/>
      </c>
      <c r="O93" s="14">
        <f>IF($A93="","",IF(COUNTIFS('Sessions'!$P$3:$P$202,P93)=0,"⚠ no Finger curls session row","ok"))</f>
        <v/>
      </c>
      <c r="P93" s="15">
        <f>IF($A93="","",$A93*10+2)</f>
        <v/>
      </c>
    </row>
    <row r="94">
      <c r="A94" s="11" t="n"/>
      <c r="J94" s="13" t="n"/>
      <c r="K94" s="15">
        <f>IF($A94="","",IF(B94&lt;&gt;"",B94,COUNTIFS($P$3:P94,P94)))</f>
        <v/>
      </c>
      <c r="L94" s="14">
        <f>IF(COUNT(C94,D94)&lt;2,"",ROUND(C94*(1+D94/30),1))</f>
        <v/>
      </c>
      <c r="M94" s="14">
        <f>IF(COUNT(E94,F94)&lt;2,"",ROUND(E94*(1+F94/30),1))</f>
        <v/>
      </c>
      <c r="N94" s="14">
        <f>IF(COUNT(C94:F94)=0,"",IF(COUNT(C94,D94)=2,C94*D94,0)+IF(COUNT(E94,F94)=2,E94*F94,0))</f>
        <v/>
      </c>
      <c r="O94" s="14">
        <f>IF($A94="","",IF(COUNTIFS('Sessions'!$P$3:$P$202,P94)=0,"⚠ no Finger curls session row","ok"))</f>
        <v/>
      </c>
      <c r="P94" s="15">
        <f>IF($A94="","",$A94*10+2)</f>
        <v/>
      </c>
    </row>
    <row r="95">
      <c r="A95" s="11" t="n"/>
      <c r="J95" s="13" t="n"/>
      <c r="K95" s="15">
        <f>IF($A95="","",IF(B95&lt;&gt;"",B95,COUNTIFS($P$3:P95,P95)))</f>
        <v/>
      </c>
      <c r="L95" s="14">
        <f>IF(COUNT(C95,D95)&lt;2,"",ROUND(C95*(1+D95/30),1))</f>
        <v/>
      </c>
      <c r="M95" s="14">
        <f>IF(COUNT(E95,F95)&lt;2,"",ROUND(E95*(1+F95/30),1))</f>
        <v/>
      </c>
      <c r="N95" s="14">
        <f>IF(COUNT(C95:F95)=0,"",IF(COUNT(C95,D95)=2,C95*D95,0)+IF(COUNT(E95,F95)=2,E95*F95,0))</f>
        <v/>
      </c>
      <c r="O95" s="14">
        <f>IF($A95="","",IF(COUNTIFS('Sessions'!$P$3:$P$202,P95)=0,"⚠ no Finger curls session row","ok"))</f>
        <v/>
      </c>
      <c r="P95" s="15">
        <f>IF($A95="","",$A95*10+2)</f>
        <v/>
      </c>
    </row>
    <row r="96">
      <c r="A96" s="11" t="n"/>
      <c r="J96" s="13" t="n"/>
      <c r="K96" s="15">
        <f>IF($A96="","",IF(B96&lt;&gt;"",B96,COUNTIFS($P$3:P96,P96)))</f>
        <v/>
      </c>
      <c r="L96" s="14">
        <f>IF(COUNT(C96,D96)&lt;2,"",ROUND(C96*(1+D96/30),1))</f>
        <v/>
      </c>
      <c r="M96" s="14">
        <f>IF(COUNT(E96,F96)&lt;2,"",ROUND(E96*(1+F96/30),1))</f>
        <v/>
      </c>
      <c r="N96" s="14">
        <f>IF(COUNT(C96:F96)=0,"",IF(COUNT(C96,D96)=2,C96*D96,0)+IF(COUNT(E96,F96)=2,E96*F96,0))</f>
        <v/>
      </c>
      <c r="O96" s="14">
        <f>IF($A96="","",IF(COUNTIFS('Sessions'!$P$3:$P$202,P96)=0,"⚠ no Finger curls session row","ok"))</f>
        <v/>
      </c>
      <c r="P96" s="15">
        <f>IF($A96="","",$A96*10+2)</f>
        <v/>
      </c>
    </row>
    <row r="97">
      <c r="A97" s="11" t="n"/>
      <c r="J97" s="13" t="n"/>
      <c r="K97" s="15">
        <f>IF($A97="","",IF(B97&lt;&gt;"",B97,COUNTIFS($P$3:P97,P97)))</f>
        <v/>
      </c>
      <c r="L97" s="14">
        <f>IF(COUNT(C97,D97)&lt;2,"",ROUND(C97*(1+D97/30),1))</f>
        <v/>
      </c>
      <c r="M97" s="14">
        <f>IF(COUNT(E97,F97)&lt;2,"",ROUND(E97*(1+F97/30),1))</f>
        <v/>
      </c>
      <c r="N97" s="14">
        <f>IF(COUNT(C97:F97)=0,"",IF(COUNT(C97,D97)=2,C97*D97,0)+IF(COUNT(E97,F97)=2,E97*F97,0))</f>
        <v/>
      </c>
      <c r="O97" s="14">
        <f>IF($A97="","",IF(COUNTIFS('Sessions'!$P$3:$P$202,P97)=0,"⚠ no Finger curls session row","ok"))</f>
        <v/>
      </c>
      <c r="P97" s="15">
        <f>IF($A97="","",$A97*10+2)</f>
        <v/>
      </c>
    </row>
    <row r="98">
      <c r="A98" s="11" t="n"/>
      <c r="J98" s="13" t="n"/>
      <c r="K98" s="15">
        <f>IF($A98="","",IF(B98&lt;&gt;"",B98,COUNTIFS($P$3:P98,P98)))</f>
        <v/>
      </c>
      <c r="L98" s="14">
        <f>IF(COUNT(C98,D98)&lt;2,"",ROUND(C98*(1+D98/30),1))</f>
        <v/>
      </c>
      <c r="M98" s="14">
        <f>IF(COUNT(E98,F98)&lt;2,"",ROUND(E98*(1+F98/30),1))</f>
        <v/>
      </c>
      <c r="N98" s="14">
        <f>IF(COUNT(C98:F98)=0,"",IF(COUNT(C98,D98)=2,C98*D98,0)+IF(COUNT(E98,F98)=2,E98*F98,0))</f>
        <v/>
      </c>
      <c r="O98" s="14">
        <f>IF($A98="","",IF(COUNTIFS('Sessions'!$P$3:$P$202,P98)=0,"⚠ no Finger curls session row","ok"))</f>
        <v/>
      </c>
      <c r="P98" s="15">
        <f>IF($A98="","",$A98*10+2)</f>
        <v/>
      </c>
    </row>
    <row r="99">
      <c r="A99" s="11" t="n"/>
      <c r="J99" s="13" t="n"/>
      <c r="K99" s="15">
        <f>IF($A99="","",IF(B99&lt;&gt;"",B99,COUNTIFS($P$3:P99,P99)))</f>
        <v/>
      </c>
      <c r="L99" s="14">
        <f>IF(COUNT(C99,D99)&lt;2,"",ROUND(C99*(1+D99/30),1))</f>
        <v/>
      </c>
      <c r="M99" s="14">
        <f>IF(COUNT(E99,F99)&lt;2,"",ROUND(E99*(1+F99/30),1))</f>
        <v/>
      </c>
      <c r="N99" s="14">
        <f>IF(COUNT(C99:F99)=0,"",IF(COUNT(C99,D99)=2,C99*D99,0)+IF(COUNT(E99,F99)=2,E99*F99,0))</f>
        <v/>
      </c>
      <c r="O99" s="14">
        <f>IF($A99="","",IF(COUNTIFS('Sessions'!$P$3:$P$202,P99)=0,"⚠ no Finger curls session row","ok"))</f>
        <v/>
      </c>
      <c r="P99" s="15">
        <f>IF($A99="","",$A99*10+2)</f>
        <v/>
      </c>
    </row>
    <row r="100">
      <c r="A100" s="11" t="n"/>
      <c r="J100" s="13" t="n"/>
      <c r="K100" s="15">
        <f>IF($A100="","",IF(B100&lt;&gt;"",B100,COUNTIFS($P$3:P100,P100)))</f>
        <v/>
      </c>
      <c r="L100" s="14">
        <f>IF(COUNT(C100,D100)&lt;2,"",ROUND(C100*(1+D100/30),1))</f>
        <v/>
      </c>
      <c r="M100" s="14">
        <f>IF(COUNT(E100,F100)&lt;2,"",ROUND(E100*(1+F100/30),1))</f>
        <v/>
      </c>
      <c r="N100" s="14">
        <f>IF(COUNT(C100:F100)=0,"",IF(COUNT(C100,D100)=2,C100*D100,0)+IF(COUNT(E100,F100)=2,E100*F100,0))</f>
        <v/>
      </c>
      <c r="O100" s="14">
        <f>IF($A100="","",IF(COUNTIFS('Sessions'!$P$3:$P$202,P100)=0,"⚠ no Finger curls session row","ok"))</f>
        <v/>
      </c>
      <c r="P100" s="15">
        <f>IF($A100="","",$A100*10+2)</f>
        <v/>
      </c>
    </row>
    <row r="101">
      <c r="A101" s="11" t="n"/>
      <c r="J101" s="13" t="n"/>
      <c r="K101" s="15">
        <f>IF($A101="","",IF(B101&lt;&gt;"",B101,COUNTIFS($P$3:P101,P101)))</f>
        <v/>
      </c>
      <c r="L101" s="14">
        <f>IF(COUNT(C101,D101)&lt;2,"",ROUND(C101*(1+D101/30),1))</f>
        <v/>
      </c>
      <c r="M101" s="14">
        <f>IF(COUNT(E101,F101)&lt;2,"",ROUND(E101*(1+F101/30),1))</f>
        <v/>
      </c>
      <c r="N101" s="14">
        <f>IF(COUNT(C101:F101)=0,"",IF(COUNT(C101,D101)=2,C101*D101,0)+IF(COUNT(E101,F101)=2,E101*F101,0))</f>
        <v/>
      </c>
      <c r="O101" s="14">
        <f>IF($A101="","",IF(COUNTIFS('Sessions'!$P$3:$P$202,P101)=0,"⚠ no Finger curls session row","ok"))</f>
        <v/>
      </c>
      <c r="P101" s="15">
        <f>IF($A101="","",$A101*10+2)</f>
        <v/>
      </c>
    </row>
    <row r="102">
      <c r="A102" s="11" t="n"/>
      <c r="J102" s="13" t="n"/>
      <c r="K102" s="15">
        <f>IF($A102="","",IF(B102&lt;&gt;"",B102,COUNTIFS($P$3:P102,P102)))</f>
        <v/>
      </c>
      <c r="L102" s="14">
        <f>IF(COUNT(C102,D102)&lt;2,"",ROUND(C102*(1+D102/30),1))</f>
        <v/>
      </c>
      <c r="M102" s="14">
        <f>IF(COUNT(E102,F102)&lt;2,"",ROUND(E102*(1+F102/30),1))</f>
        <v/>
      </c>
      <c r="N102" s="14">
        <f>IF(COUNT(C102:F102)=0,"",IF(COUNT(C102,D102)=2,C102*D102,0)+IF(COUNT(E102,F102)=2,E102*F102,0))</f>
        <v/>
      </c>
      <c r="O102" s="14">
        <f>IF($A102="","",IF(COUNTIFS('Sessions'!$P$3:$P$202,P102)=0,"⚠ no Finger curls session row","ok"))</f>
        <v/>
      </c>
      <c r="P102" s="15">
        <f>IF($A102="","",$A102*10+2)</f>
        <v/>
      </c>
    </row>
    <row r="103">
      <c r="A103" s="11" t="n"/>
      <c r="J103" s="13" t="n"/>
      <c r="K103" s="15">
        <f>IF($A103="","",IF(B103&lt;&gt;"",B103,COUNTIFS($P$3:P103,P103)))</f>
        <v/>
      </c>
      <c r="L103" s="14">
        <f>IF(COUNT(C103,D103)&lt;2,"",ROUND(C103*(1+D103/30),1))</f>
        <v/>
      </c>
      <c r="M103" s="14">
        <f>IF(COUNT(E103,F103)&lt;2,"",ROUND(E103*(1+F103/30),1))</f>
        <v/>
      </c>
      <c r="N103" s="14">
        <f>IF(COUNT(C103:F103)=0,"",IF(COUNT(C103,D103)=2,C103*D103,0)+IF(COUNT(E103,F103)=2,E103*F103,0))</f>
        <v/>
      </c>
      <c r="O103" s="14">
        <f>IF($A103="","",IF(COUNTIFS('Sessions'!$P$3:$P$202,P103)=0,"⚠ no Finger curls session row","ok"))</f>
        <v/>
      </c>
      <c r="P103" s="15">
        <f>IF($A103="","",$A103*10+2)</f>
        <v/>
      </c>
    </row>
    <row r="104">
      <c r="A104" s="11" t="n"/>
      <c r="J104" s="13" t="n"/>
      <c r="K104" s="15">
        <f>IF($A104="","",IF(B104&lt;&gt;"",B104,COUNTIFS($P$3:P104,P104)))</f>
        <v/>
      </c>
      <c r="L104" s="14">
        <f>IF(COUNT(C104,D104)&lt;2,"",ROUND(C104*(1+D104/30),1))</f>
        <v/>
      </c>
      <c r="M104" s="14">
        <f>IF(COUNT(E104,F104)&lt;2,"",ROUND(E104*(1+F104/30),1))</f>
        <v/>
      </c>
      <c r="N104" s="14">
        <f>IF(COUNT(C104:F104)=0,"",IF(COUNT(C104,D104)=2,C104*D104,0)+IF(COUNT(E104,F104)=2,E104*F104,0))</f>
        <v/>
      </c>
      <c r="O104" s="14">
        <f>IF($A104="","",IF(COUNTIFS('Sessions'!$P$3:$P$202,P104)=0,"⚠ no Finger curls session row","ok"))</f>
        <v/>
      </c>
      <c r="P104" s="15">
        <f>IF($A104="","",$A104*10+2)</f>
        <v/>
      </c>
    </row>
    <row r="105">
      <c r="A105" s="11" t="n"/>
      <c r="J105" s="13" t="n"/>
      <c r="K105" s="15">
        <f>IF($A105="","",IF(B105&lt;&gt;"",B105,COUNTIFS($P$3:P105,P105)))</f>
        <v/>
      </c>
      <c r="L105" s="14">
        <f>IF(COUNT(C105,D105)&lt;2,"",ROUND(C105*(1+D105/30),1))</f>
        <v/>
      </c>
      <c r="M105" s="14">
        <f>IF(COUNT(E105,F105)&lt;2,"",ROUND(E105*(1+F105/30),1))</f>
        <v/>
      </c>
      <c r="N105" s="14">
        <f>IF(COUNT(C105:F105)=0,"",IF(COUNT(C105,D105)=2,C105*D105,0)+IF(COUNT(E105,F105)=2,E105*F105,0))</f>
        <v/>
      </c>
      <c r="O105" s="14">
        <f>IF($A105="","",IF(COUNTIFS('Sessions'!$P$3:$P$202,P105)=0,"⚠ no Finger curls session row","ok"))</f>
        <v/>
      </c>
      <c r="P105" s="15">
        <f>IF($A105="","",$A105*10+2)</f>
        <v/>
      </c>
    </row>
    <row r="106">
      <c r="A106" s="11" t="n"/>
      <c r="J106" s="13" t="n"/>
      <c r="K106" s="15">
        <f>IF($A106="","",IF(B106&lt;&gt;"",B106,COUNTIFS($P$3:P106,P106)))</f>
        <v/>
      </c>
      <c r="L106" s="14">
        <f>IF(COUNT(C106,D106)&lt;2,"",ROUND(C106*(1+D106/30),1))</f>
        <v/>
      </c>
      <c r="M106" s="14">
        <f>IF(COUNT(E106,F106)&lt;2,"",ROUND(E106*(1+F106/30),1))</f>
        <v/>
      </c>
      <c r="N106" s="14">
        <f>IF(COUNT(C106:F106)=0,"",IF(COUNT(C106,D106)=2,C106*D106,0)+IF(COUNT(E106,F106)=2,E106*F106,0))</f>
        <v/>
      </c>
      <c r="O106" s="14">
        <f>IF($A106="","",IF(COUNTIFS('Sessions'!$P$3:$P$202,P106)=0,"⚠ no Finger curls session row","ok"))</f>
        <v/>
      </c>
      <c r="P106" s="15">
        <f>IF($A106="","",$A106*10+2)</f>
        <v/>
      </c>
    </row>
    <row r="107">
      <c r="A107" s="11" t="n"/>
      <c r="J107" s="13" t="n"/>
      <c r="K107" s="15">
        <f>IF($A107="","",IF(B107&lt;&gt;"",B107,COUNTIFS($P$3:P107,P107)))</f>
        <v/>
      </c>
      <c r="L107" s="14">
        <f>IF(COUNT(C107,D107)&lt;2,"",ROUND(C107*(1+D107/30),1))</f>
        <v/>
      </c>
      <c r="M107" s="14">
        <f>IF(COUNT(E107,F107)&lt;2,"",ROUND(E107*(1+F107/30),1))</f>
        <v/>
      </c>
      <c r="N107" s="14">
        <f>IF(COUNT(C107:F107)=0,"",IF(COUNT(C107,D107)=2,C107*D107,0)+IF(COUNT(E107,F107)=2,E107*F107,0))</f>
        <v/>
      </c>
      <c r="O107" s="14">
        <f>IF($A107="","",IF(COUNTIFS('Sessions'!$P$3:$P$202,P107)=0,"⚠ no Finger curls session row","ok"))</f>
        <v/>
      </c>
      <c r="P107" s="15">
        <f>IF($A107="","",$A107*10+2)</f>
        <v/>
      </c>
    </row>
    <row r="108">
      <c r="A108" s="11" t="n"/>
      <c r="J108" s="13" t="n"/>
      <c r="K108" s="15">
        <f>IF($A108="","",IF(B108&lt;&gt;"",B108,COUNTIFS($P$3:P108,P108)))</f>
        <v/>
      </c>
      <c r="L108" s="14">
        <f>IF(COUNT(C108,D108)&lt;2,"",ROUND(C108*(1+D108/30),1))</f>
        <v/>
      </c>
      <c r="M108" s="14">
        <f>IF(COUNT(E108,F108)&lt;2,"",ROUND(E108*(1+F108/30),1))</f>
        <v/>
      </c>
      <c r="N108" s="14">
        <f>IF(COUNT(C108:F108)=0,"",IF(COUNT(C108,D108)=2,C108*D108,0)+IF(COUNT(E108,F108)=2,E108*F108,0))</f>
        <v/>
      </c>
      <c r="O108" s="14">
        <f>IF($A108="","",IF(COUNTIFS('Sessions'!$P$3:$P$202,P108)=0,"⚠ no Finger curls session row","ok"))</f>
        <v/>
      </c>
      <c r="P108" s="15">
        <f>IF($A108="","",$A108*10+2)</f>
        <v/>
      </c>
    </row>
    <row r="109">
      <c r="A109" s="11" t="n"/>
      <c r="J109" s="13" t="n"/>
      <c r="K109" s="15">
        <f>IF($A109="","",IF(B109&lt;&gt;"",B109,COUNTIFS($P$3:P109,P109)))</f>
        <v/>
      </c>
      <c r="L109" s="14">
        <f>IF(COUNT(C109,D109)&lt;2,"",ROUND(C109*(1+D109/30),1))</f>
        <v/>
      </c>
      <c r="M109" s="14">
        <f>IF(COUNT(E109,F109)&lt;2,"",ROUND(E109*(1+F109/30),1))</f>
        <v/>
      </c>
      <c r="N109" s="14">
        <f>IF(COUNT(C109:F109)=0,"",IF(COUNT(C109,D109)=2,C109*D109,0)+IF(COUNT(E109,F109)=2,E109*F109,0))</f>
        <v/>
      </c>
      <c r="O109" s="14">
        <f>IF($A109="","",IF(COUNTIFS('Sessions'!$P$3:$P$202,P109)=0,"⚠ no Finger curls session row","ok"))</f>
        <v/>
      </c>
      <c r="P109" s="15">
        <f>IF($A109="","",$A109*10+2)</f>
        <v/>
      </c>
    </row>
    <row r="110">
      <c r="A110" s="11" t="n"/>
      <c r="J110" s="13" t="n"/>
      <c r="K110" s="15">
        <f>IF($A110="","",IF(B110&lt;&gt;"",B110,COUNTIFS($P$3:P110,P110)))</f>
        <v/>
      </c>
      <c r="L110" s="14">
        <f>IF(COUNT(C110,D110)&lt;2,"",ROUND(C110*(1+D110/30),1))</f>
        <v/>
      </c>
      <c r="M110" s="14">
        <f>IF(COUNT(E110,F110)&lt;2,"",ROUND(E110*(1+F110/30),1))</f>
        <v/>
      </c>
      <c r="N110" s="14">
        <f>IF(COUNT(C110:F110)=0,"",IF(COUNT(C110,D110)=2,C110*D110,0)+IF(COUNT(E110,F110)=2,E110*F110,0))</f>
        <v/>
      </c>
      <c r="O110" s="14">
        <f>IF($A110="","",IF(COUNTIFS('Sessions'!$P$3:$P$202,P110)=0,"⚠ no Finger curls session row","ok"))</f>
        <v/>
      </c>
      <c r="P110" s="15">
        <f>IF($A110="","",$A110*10+2)</f>
        <v/>
      </c>
    </row>
    <row r="111">
      <c r="A111" s="11" t="n"/>
      <c r="J111" s="13" t="n"/>
      <c r="K111" s="15">
        <f>IF($A111="","",IF(B111&lt;&gt;"",B111,COUNTIFS($P$3:P111,P111)))</f>
        <v/>
      </c>
      <c r="L111" s="14">
        <f>IF(COUNT(C111,D111)&lt;2,"",ROUND(C111*(1+D111/30),1))</f>
        <v/>
      </c>
      <c r="M111" s="14">
        <f>IF(COUNT(E111,F111)&lt;2,"",ROUND(E111*(1+F111/30),1))</f>
        <v/>
      </c>
      <c r="N111" s="14">
        <f>IF(COUNT(C111:F111)=0,"",IF(COUNT(C111,D111)=2,C111*D111,0)+IF(COUNT(E111,F111)=2,E111*F111,0))</f>
        <v/>
      </c>
      <c r="O111" s="14">
        <f>IF($A111="","",IF(COUNTIFS('Sessions'!$P$3:$P$202,P111)=0,"⚠ no Finger curls session row","ok"))</f>
        <v/>
      </c>
      <c r="P111" s="15">
        <f>IF($A111="","",$A111*10+2)</f>
        <v/>
      </c>
    </row>
    <row r="112">
      <c r="A112" s="11" t="n"/>
      <c r="J112" s="13" t="n"/>
      <c r="K112" s="15">
        <f>IF($A112="","",IF(B112&lt;&gt;"",B112,COUNTIFS($P$3:P112,P112)))</f>
        <v/>
      </c>
      <c r="L112" s="14">
        <f>IF(COUNT(C112,D112)&lt;2,"",ROUND(C112*(1+D112/30),1))</f>
        <v/>
      </c>
      <c r="M112" s="14">
        <f>IF(COUNT(E112,F112)&lt;2,"",ROUND(E112*(1+F112/30),1))</f>
        <v/>
      </c>
      <c r="N112" s="14">
        <f>IF(COUNT(C112:F112)=0,"",IF(COUNT(C112,D112)=2,C112*D112,0)+IF(COUNT(E112,F112)=2,E112*F112,0))</f>
        <v/>
      </c>
      <c r="O112" s="14">
        <f>IF($A112="","",IF(COUNTIFS('Sessions'!$P$3:$P$202,P112)=0,"⚠ no Finger curls session row","ok"))</f>
        <v/>
      </c>
      <c r="P112" s="15">
        <f>IF($A112="","",$A112*10+2)</f>
        <v/>
      </c>
    </row>
    <row r="113">
      <c r="A113" s="11" t="n"/>
      <c r="J113" s="13" t="n"/>
      <c r="K113" s="15">
        <f>IF($A113="","",IF(B113&lt;&gt;"",B113,COUNTIFS($P$3:P113,P113)))</f>
        <v/>
      </c>
      <c r="L113" s="14">
        <f>IF(COUNT(C113,D113)&lt;2,"",ROUND(C113*(1+D113/30),1))</f>
        <v/>
      </c>
      <c r="M113" s="14">
        <f>IF(COUNT(E113,F113)&lt;2,"",ROUND(E113*(1+F113/30),1))</f>
        <v/>
      </c>
      <c r="N113" s="14">
        <f>IF(COUNT(C113:F113)=0,"",IF(COUNT(C113,D113)=2,C113*D113,0)+IF(COUNT(E113,F113)=2,E113*F113,0))</f>
        <v/>
      </c>
      <c r="O113" s="14">
        <f>IF($A113="","",IF(COUNTIFS('Sessions'!$P$3:$P$202,P113)=0,"⚠ no Finger curls session row","ok"))</f>
        <v/>
      </c>
      <c r="P113" s="15">
        <f>IF($A113="","",$A113*10+2)</f>
        <v/>
      </c>
    </row>
    <row r="114">
      <c r="A114" s="11" t="n"/>
      <c r="J114" s="13" t="n"/>
      <c r="K114" s="15">
        <f>IF($A114="","",IF(B114&lt;&gt;"",B114,COUNTIFS($P$3:P114,P114)))</f>
        <v/>
      </c>
      <c r="L114" s="14">
        <f>IF(COUNT(C114,D114)&lt;2,"",ROUND(C114*(1+D114/30),1))</f>
        <v/>
      </c>
      <c r="M114" s="14">
        <f>IF(COUNT(E114,F114)&lt;2,"",ROUND(E114*(1+F114/30),1))</f>
        <v/>
      </c>
      <c r="N114" s="14">
        <f>IF(COUNT(C114:F114)=0,"",IF(COUNT(C114,D114)=2,C114*D114,0)+IF(COUNT(E114,F114)=2,E114*F114,0))</f>
        <v/>
      </c>
      <c r="O114" s="14">
        <f>IF($A114="","",IF(COUNTIFS('Sessions'!$P$3:$P$202,P114)=0,"⚠ no Finger curls session row","ok"))</f>
        <v/>
      </c>
      <c r="P114" s="15">
        <f>IF($A114="","",$A114*10+2)</f>
        <v/>
      </c>
    </row>
    <row r="115">
      <c r="A115" s="11" t="n"/>
      <c r="J115" s="13" t="n"/>
      <c r="K115" s="15">
        <f>IF($A115="","",IF(B115&lt;&gt;"",B115,COUNTIFS($P$3:P115,P115)))</f>
        <v/>
      </c>
      <c r="L115" s="14">
        <f>IF(COUNT(C115,D115)&lt;2,"",ROUND(C115*(1+D115/30),1))</f>
        <v/>
      </c>
      <c r="M115" s="14">
        <f>IF(COUNT(E115,F115)&lt;2,"",ROUND(E115*(1+F115/30),1))</f>
        <v/>
      </c>
      <c r="N115" s="14">
        <f>IF(COUNT(C115:F115)=0,"",IF(COUNT(C115,D115)=2,C115*D115,0)+IF(COUNT(E115,F115)=2,E115*F115,0))</f>
        <v/>
      </c>
      <c r="O115" s="14">
        <f>IF($A115="","",IF(COUNTIFS('Sessions'!$P$3:$P$202,P115)=0,"⚠ no Finger curls session row","ok"))</f>
        <v/>
      </c>
      <c r="P115" s="15">
        <f>IF($A115="","",$A115*10+2)</f>
        <v/>
      </c>
    </row>
    <row r="116">
      <c r="A116" s="11" t="n"/>
      <c r="J116" s="13" t="n"/>
      <c r="K116" s="15">
        <f>IF($A116="","",IF(B116&lt;&gt;"",B116,COUNTIFS($P$3:P116,P116)))</f>
        <v/>
      </c>
      <c r="L116" s="14">
        <f>IF(COUNT(C116,D116)&lt;2,"",ROUND(C116*(1+D116/30),1))</f>
        <v/>
      </c>
      <c r="M116" s="14">
        <f>IF(COUNT(E116,F116)&lt;2,"",ROUND(E116*(1+F116/30),1))</f>
        <v/>
      </c>
      <c r="N116" s="14">
        <f>IF(COUNT(C116:F116)=0,"",IF(COUNT(C116,D116)=2,C116*D116,0)+IF(COUNT(E116,F116)=2,E116*F116,0))</f>
        <v/>
      </c>
      <c r="O116" s="14">
        <f>IF($A116="","",IF(COUNTIFS('Sessions'!$P$3:$P$202,P116)=0,"⚠ no Finger curls session row","ok"))</f>
        <v/>
      </c>
      <c r="P116" s="15">
        <f>IF($A116="","",$A116*10+2)</f>
        <v/>
      </c>
    </row>
    <row r="117">
      <c r="A117" s="11" t="n"/>
      <c r="J117" s="13" t="n"/>
      <c r="K117" s="15">
        <f>IF($A117="","",IF(B117&lt;&gt;"",B117,COUNTIFS($P$3:P117,P117)))</f>
        <v/>
      </c>
      <c r="L117" s="14">
        <f>IF(COUNT(C117,D117)&lt;2,"",ROUND(C117*(1+D117/30),1))</f>
        <v/>
      </c>
      <c r="M117" s="14">
        <f>IF(COUNT(E117,F117)&lt;2,"",ROUND(E117*(1+F117/30),1))</f>
        <v/>
      </c>
      <c r="N117" s="14">
        <f>IF(COUNT(C117:F117)=0,"",IF(COUNT(C117,D117)=2,C117*D117,0)+IF(COUNT(E117,F117)=2,E117*F117,0))</f>
        <v/>
      </c>
      <c r="O117" s="14">
        <f>IF($A117="","",IF(COUNTIFS('Sessions'!$P$3:$P$202,P117)=0,"⚠ no Finger curls session row","ok"))</f>
        <v/>
      </c>
      <c r="P117" s="15">
        <f>IF($A117="","",$A117*10+2)</f>
        <v/>
      </c>
    </row>
    <row r="118">
      <c r="A118" s="11" t="n"/>
      <c r="J118" s="13" t="n"/>
      <c r="K118" s="15">
        <f>IF($A118="","",IF(B118&lt;&gt;"",B118,COUNTIFS($P$3:P118,P118)))</f>
        <v/>
      </c>
      <c r="L118" s="14">
        <f>IF(COUNT(C118,D118)&lt;2,"",ROUND(C118*(1+D118/30),1))</f>
        <v/>
      </c>
      <c r="M118" s="14">
        <f>IF(COUNT(E118,F118)&lt;2,"",ROUND(E118*(1+F118/30),1))</f>
        <v/>
      </c>
      <c r="N118" s="14">
        <f>IF(COUNT(C118:F118)=0,"",IF(COUNT(C118,D118)=2,C118*D118,0)+IF(COUNT(E118,F118)=2,E118*F118,0))</f>
        <v/>
      </c>
      <c r="O118" s="14">
        <f>IF($A118="","",IF(COUNTIFS('Sessions'!$P$3:$P$202,P118)=0,"⚠ no Finger curls session row","ok"))</f>
        <v/>
      </c>
      <c r="P118" s="15">
        <f>IF($A118="","",$A118*10+2)</f>
        <v/>
      </c>
    </row>
    <row r="119">
      <c r="A119" s="11" t="n"/>
      <c r="J119" s="13" t="n"/>
      <c r="K119" s="15">
        <f>IF($A119="","",IF(B119&lt;&gt;"",B119,COUNTIFS($P$3:P119,P119)))</f>
        <v/>
      </c>
      <c r="L119" s="14">
        <f>IF(COUNT(C119,D119)&lt;2,"",ROUND(C119*(1+D119/30),1))</f>
        <v/>
      </c>
      <c r="M119" s="14">
        <f>IF(COUNT(E119,F119)&lt;2,"",ROUND(E119*(1+F119/30),1))</f>
        <v/>
      </c>
      <c r="N119" s="14">
        <f>IF(COUNT(C119:F119)=0,"",IF(COUNT(C119,D119)=2,C119*D119,0)+IF(COUNT(E119,F119)=2,E119*F119,0))</f>
        <v/>
      </c>
      <c r="O119" s="14">
        <f>IF($A119="","",IF(COUNTIFS('Sessions'!$P$3:$P$202,P119)=0,"⚠ no Finger curls session row","ok"))</f>
        <v/>
      </c>
      <c r="P119" s="15">
        <f>IF($A119="","",$A119*10+2)</f>
        <v/>
      </c>
    </row>
    <row r="120">
      <c r="A120" s="11" t="n"/>
      <c r="J120" s="13" t="n"/>
      <c r="K120" s="15">
        <f>IF($A120="","",IF(B120&lt;&gt;"",B120,COUNTIFS($P$3:P120,P120)))</f>
        <v/>
      </c>
      <c r="L120" s="14">
        <f>IF(COUNT(C120,D120)&lt;2,"",ROUND(C120*(1+D120/30),1))</f>
        <v/>
      </c>
      <c r="M120" s="14">
        <f>IF(COUNT(E120,F120)&lt;2,"",ROUND(E120*(1+F120/30),1))</f>
        <v/>
      </c>
      <c r="N120" s="14">
        <f>IF(COUNT(C120:F120)=0,"",IF(COUNT(C120,D120)=2,C120*D120,0)+IF(COUNT(E120,F120)=2,E120*F120,0))</f>
        <v/>
      </c>
      <c r="O120" s="14">
        <f>IF($A120="","",IF(COUNTIFS('Sessions'!$P$3:$P$202,P120)=0,"⚠ no Finger curls session row","ok"))</f>
        <v/>
      </c>
      <c r="P120" s="15">
        <f>IF($A120="","",$A120*10+2)</f>
        <v/>
      </c>
    </row>
    <row r="121">
      <c r="A121" s="11" t="n"/>
      <c r="J121" s="13" t="n"/>
      <c r="K121" s="15">
        <f>IF($A121="","",IF(B121&lt;&gt;"",B121,COUNTIFS($P$3:P121,P121)))</f>
        <v/>
      </c>
      <c r="L121" s="14">
        <f>IF(COUNT(C121,D121)&lt;2,"",ROUND(C121*(1+D121/30),1))</f>
        <v/>
      </c>
      <c r="M121" s="14">
        <f>IF(COUNT(E121,F121)&lt;2,"",ROUND(E121*(1+F121/30),1))</f>
        <v/>
      </c>
      <c r="N121" s="14">
        <f>IF(COUNT(C121:F121)=0,"",IF(COUNT(C121,D121)=2,C121*D121,0)+IF(COUNT(E121,F121)=2,E121*F121,0))</f>
        <v/>
      </c>
      <c r="O121" s="14">
        <f>IF($A121="","",IF(COUNTIFS('Sessions'!$P$3:$P$202,P121)=0,"⚠ no Finger curls session row","ok"))</f>
        <v/>
      </c>
      <c r="P121" s="15">
        <f>IF($A121="","",$A121*10+2)</f>
        <v/>
      </c>
    </row>
    <row r="122">
      <c r="A122" s="11" t="n"/>
      <c r="J122" s="13" t="n"/>
      <c r="K122" s="15">
        <f>IF($A122="","",IF(B122&lt;&gt;"",B122,COUNTIFS($P$3:P122,P122)))</f>
        <v/>
      </c>
      <c r="L122" s="14">
        <f>IF(COUNT(C122,D122)&lt;2,"",ROUND(C122*(1+D122/30),1))</f>
        <v/>
      </c>
      <c r="M122" s="14">
        <f>IF(COUNT(E122,F122)&lt;2,"",ROUND(E122*(1+F122/30),1))</f>
        <v/>
      </c>
      <c r="N122" s="14">
        <f>IF(COUNT(C122:F122)=0,"",IF(COUNT(C122,D122)=2,C122*D122,0)+IF(COUNT(E122,F122)=2,E122*F122,0))</f>
        <v/>
      </c>
      <c r="O122" s="14">
        <f>IF($A122="","",IF(COUNTIFS('Sessions'!$P$3:$P$202,P122)=0,"⚠ no Finger curls session row","ok"))</f>
        <v/>
      </c>
      <c r="P122" s="15">
        <f>IF($A122="","",$A122*10+2)</f>
        <v/>
      </c>
    </row>
    <row r="123">
      <c r="A123" s="11" t="n"/>
      <c r="J123" s="13" t="n"/>
      <c r="K123" s="15">
        <f>IF($A123="","",IF(B123&lt;&gt;"",B123,COUNTIFS($P$3:P123,P123)))</f>
        <v/>
      </c>
      <c r="L123" s="14">
        <f>IF(COUNT(C123,D123)&lt;2,"",ROUND(C123*(1+D123/30),1))</f>
        <v/>
      </c>
      <c r="M123" s="14">
        <f>IF(COUNT(E123,F123)&lt;2,"",ROUND(E123*(1+F123/30),1))</f>
        <v/>
      </c>
      <c r="N123" s="14">
        <f>IF(COUNT(C123:F123)=0,"",IF(COUNT(C123,D123)=2,C123*D123,0)+IF(COUNT(E123,F123)=2,E123*F123,0))</f>
        <v/>
      </c>
      <c r="O123" s="14">
        <f>IF($A123="","",IF(COUNTIFS('Sessions'!$P$3:$P$202,P123)=0,"⚠ no Finger curls session row","ok"))</f>
        <v/>
      </c>
      <c r="P123" s="15">
        <f>IF($A123="","",$A123*10+2)</f>
        <v/>
      </c>
    </row>
    <row r="124">
      <c r="A124" s="11" t="n"/>
      <c r="J124" s="13" t="n"/>
      <c r="K124" s="15">
        <f>IF($A124="","",IF(B124&lt;&gt;"",B124,COUNTIFS($P$3:P124,P124)))</f>
        <v/>
      </c>
      <c r="L124" s="14">
        <f>IF(COUNT(C124,D124)&lt;2,"",ROUND(C124*(1+D124/30),1))</f>
        <v/>
      </c>
      <c r="M124" s="14">
        <f>IF(COUNT(E124,F124)&lt;2,"",ROUND(E124*(1+F124/30),1))</f>
        <v/>
      </c>
      <c r="N124" s="14">
        <f>IF(COUNT(C124:F124)=0,"",IF(COUNT(C124,D124)=2,C124*D124,0)+IF(COUNT(E124,F124)=2,E124*F124,0))</f>
        <v/>
      </c>
      <c r="O124" s="14">
        <f>IF($A124="","",IF(COUNTIFS('Sessions'!$P$3:$P$202,P124)=0,"⚠ no Finger curls session row","ok"))</f>
        <v/>
      </c>
      <c r="P124" s="15">
        <f>IF($A124="","",$A124*10+2)</f>
        <v/>
      </c>
    </row>
    <row r="125">
      <c r="A125" s="11" t="n"/>
      <c r="J125" s="13" t="n"/>
      <c r="K125" s="15">
        <f>IF($A125="","",IF(B125&lt;&gt;"",B125,COUNTIFS($P$3:P125,P125)))</f>
        <v/>
      </c>
      <c r="L125" s="14">
        <f>IF(COUNT(C125,D125)&lt;2,"",ROUND(C125*(1+D125/30),1))</f>
        <v/>
      </c>
      <c r="M125" s="14">
        <f>IF(COUNT(E125,F125)&lt;2,"",ROUND(E125*(1+F125/30),1))</f>
        <v/>
      </c>
      <c r="N125" s="14">
        <f>IF(COUNT(C125:F125)=0,"",IF(COUNT(C125,D125)=2,C125*D125,0)+IF(COUNT(E125,F125)=2,E125*F125,0))</f>
        <v/>
      </c>
      <c r="O125" s="14">
        <f>IF($A125="","",IF(COUNTIFS('Sessions'!$P$3:$P$202,P125)=0,"⚠ no Finger curls session row","ok"))</f>
        <v/>
      </c>
      <c r="P125" s="15">
        <f>IF($A125="","",$A125*10+2)</f>
        <v/>
      </c>
    </row>
    <row r="126">
      <c r="A126" s="11" t="n"/>
      <c r="J126" s="13" t="n"/>
      <c r="K126" s="15">
        <f>IF($A126="","",IF(B126&lt;&gt;"",B126,COUNTIFS($P$3:P126,P126)))</f>
        <v/>
      </c>
      <c r="L126" s="14">
        <f>IF(COUNT(C126,D126)&lt;2,"",ROUND(C126*(1+D126/30),1))</f>
        <v/>
      </c>
      <c r="M126" s="14">
        <f>IF(COUNT(E126,F126)&lt;2,"",ROUND(E126*(1+F126/30),1))</f>
        <v/>
      </c>
      <c r="N126" s="14">
        <f>IF(COUNT(C126:F126)=0,"",IF(COUNT(C126,D126)=2,C126*D126,0)+IF(COUNT(E126,F126)=2,E126*F126,0))</f>
        <v/>
      </c>
      <c r="O126" s="14">
        <f>IF($A126="","",IF(COUNTIFS('Sessions'!$P$3:$P$202,P126)=0,"⚠ no Finger curls session row","ok"))</f>
        <v/>
      </c>
      <c r="P126" s="15">
        <f>IF($A126="","",$A126*10+2)</f>
        <v/>
      </c>
    </row>
    <row r="127">
      <c r="A127" s="11" t="n"/>
      <c r="J127" s="13" t="n"/>
      <c r="K127" s="15">
        <f>IF($A127="","",IF(B127&lt;&gt;"",B127,COUNTIFS($P$3:P127,P127)))</f>
        <v/>
      </c>
      <c r="L127" s="14">
        <f>IF(COUNT(C127,D127)&lt;2,"",ROUND(C127*(1+D127/30),1))</f>
        <v/>
      </c>
      <c r="M127" s="14">
        <f>IF(COUNT(E127,F127)&lt;2,"",ROUND(E127*(1+F127/30),1))</f>
        <v/>
      </c>
      <c r="N127" s="14">
        <f>IF(COUNT(C127:F127)=0,"",IF(COUNT(C127,D127)=2,C127*D127,0)+IF(COUNT(E127,F127)=2,E127*F127,0))</f>
        <v/>
      </c>
      <c r="O127" s="14">
        <f>IF($A127="","",IF(COUNTIFS('Sessions'!$P$3:$P$202,P127)=0,"⚠ no Finger curls session row","ok"))</f>
        <v/>
      </c>
      <c r="P127" s="15">
        <f>IF($A127="","",$A127*10+2)</f>
        <v/>
      </c>
    </row>
    <row r="128">
      <c r="A128" s="11" t="n"/>
      <c r="J128" s="13" t="n"/>
      <c r="K128" s="15">
        <f>IF($A128="","",IF(B128&lt;&gt;"",B128,COUNTIFS($P$3:P128,P128)))</f>
        <v/>
      </c>
      <c r="L128" s="14">
        <f>IF(COUNT(C128,D128)&lt;2,"",ROUND(C128*(1+D128/30),1))</f>
        <v/>
      </c>
      <c r="M128" s="14">
        <f>IF(COUNT(E128,F128)&lt;2,"",ROUND(E128*(1+F128/30),1))</f>
        <v/>
      </c>
      <c r="N128" s="14">
        <f>IF(COUNT(C128:F128)=0,"",IF(COUNT(C128,D128)=2,C128*D128,0)+IF(COUNT(E128,F128)=2,E128*F128,0))</f>
        <v/>
      </c>
      <c r="O128" s="14">
        <f>IF($A128="","",IF(COUNTIFS('Sessions'!$P$3:$P$202,P128)=0,"⚠ no Finger curls session row","ok"))</f>
        <v/>
      </c>
      <c r="P128" s="15">
        <f>IF($A128="","",$A128*10+2)</f>
        <v/>
      </c>
    </row>
    <row r="129">
      <c r="A129" s="11" t="n"/>
      <c r="J129" s="13" t="n"/>
      <c r="K129" s="15">
        <f>IF($A129="","",IF(B129&lt;&gt;"",B129,COUNTIFS($P$3:P129,P129)))</f>
        <v/>
      </c>
      <c r="L129" s="14">
        <f>IF(COUNT(C129,D129)&lt;2,"",ROUND(C129*(1+D129/30),1))</f>
        <v/>
      </c>
      <c r="M129" s="14">
        <f>IF(COUNT(E129,F129)&lt;2,"",ROUND(E129*(1+F129/30),1))</f>
        <v/>
      </c>
      <c r="N129" s="14">
        <f>IF(COUNT(C129:F129)=0,"",IF(COUNT(C129,D129)=2,C129*D129,0)+IF(COUNT(E129,F129)=2,E129*F129,0))</f>
        <v/>
      </c>
      <c r="O129" s="14">
        <f>IF($A129="","",IF(COUNTIFS('Sessions'!$P$3:$P$202,P129)=0,"⚠ no Finger curls session row","ok"))</f>
        <v/>
      </c>
      <c r="P129" s="15">
        <f>IF($A129="","",$A129*10+2)</f>
        <v/>
      </c>
    </row>
    <row r="130">
      <c r="A130" s="11" t="n"/>
      <c r="J130" s="13" t="n"/>
      <c r="K130" s="15">
        <f>IF($A130="","",IF(B130&lt;&gt;"",B130,COUNTIFS($P$3:P130,P130)))</f>
        <v/>
      </c>
      <c r="L130" s="14">
        <f>IF(COUNT(C130,D130)&lt;2,"",ROUND(C130*(1+D130/30),1))</f>
        <v/>
      </c>
      <c r="M130" s="14">
        <f>IF(COUNT(E130,F130)&lt;2,"",ROUND(E130*(1+F130/30),1))</f>
        <v/>
      </c>
      <c r="N130" s="14">
        <f>IF(COUNT(C130:F130)=0,"",IF(COUNT(C130,D130)=2,C130*D130,0)+IF(COUNT(E130,F130)=2,E130*F130,0))</f>
        <v/>
      </c>
      <c r="O130" s="14">
        <f>IF($A130="","",IF(COUNTIFS('Sessions'!$P$3:$P$202,P130)=0,"⚠ no Finger curls session row","ok"))</f>
        <v/>
      </c>
      <c r="P130" s="15">
        <f>IF($A130="","",$A130*10+2)</f>
        <v/>
      </c>
    </row>
    <row r="131">
      <c r="A131" s="11" t="n"/>
      <c r="J131" s="13" t="n"/>
      <c r="K131" s="15">
        <f>IF($A131="","",IF(B131&lt;&gt;"",B131,COUNTIFS($P$3:P131,P131)))</f>
        <v/>
      </c>
      <c r="L131" s="14">
        <f>IF(COUNT(C131,D131)&lt;2,"",ROUND(C131*(1+D131/30),1))</f>
        <v/>
      </c>
      <c r="M131" s="14">
        <f>IF(COUNT(E131,F131)&lt;2,"",ROUND(E131*(1+F131/30),1))</f>
        <v/>
      </c>
      <c r="N131" s="14">
        <f>IF(COUNT(C131:F131)=0,"",IF(COUNT(C131,D131)=2,C131*D131,0)+IF(COUNT(E131,F131)=2,E131*F131,0))</f>
        <v/>
      </c>
      <c r="O131" s="14">
        <f>IF($A131="","",IF(COUNTIFS('Sessions'!$P$3:$P$202,P131)=0,"⚠ no Finger curls session row","ok"))</f>
        <v/>
      </c>
      <c r="P131" s="15">
        <f>IF($A131="","",$A131*10+2)</f>
        <v/>
      </c>
    </row>
    <row r="132">
      <c r="A132" s="11" t="n"/>
      <c r="J132" s="13" t="n"/>
      <c r="K132" s="15">
        <f>IF($A132="","",IF(B132&lt;&gt;"",B132,COUNTIFS($P$3:P132,P132)))</f>
        <v/>
      </c>
      <c r="L132" s="14">
        <f>IF(COUNT(C132,D132)&lt;2,"",ROUND(C132*(1+D132/30),1))</f>
        <v/>
      </c>
      <c r="M132" s="14">
        <f>IF(COUNT(E132,F132)&lt;2,"",ROUND(E132*(1+F132/30),1))</f>
        <v/>
      </c>
      <c r="N132" s="14">
        <f>IF(COUNT(C132:F132)=0,"",IF(COUNT(C132,D132)=2,C132*D132,0)+IF(COUNT(E132,F132)=2,E132*F132,0))</f>
        <v/>
      </c>
      <c r="O132" s="14">
        <f>IF($A132="","",IF(COUNTIFS('Sessions'!$P$3:$P$202,P132)=0,"⚠ no Finger curls session row","ok"))</f>
        <v/>
      </c>
      <c r="P132" s="15">
        <f>IF($A132="","",$A132*10+2)</f>
        <v/>
      </c>
    </row>
    <row r="133">
      <c r="A133" s="11" t="n"/>
      <c r="J133" s="13" t="n"/>
      <c r="K133" s="15">
        <f>IF($A133="","",IF(B133&lt;&gt;"",B133,COUNTIFS($P$3:P133,P133)))</f>
        <v/>
      </c>
      <c r="L133" s="14">
        <f>IF(COUNT(C133,D133)&lt;2,"",ROUND(C133*(1+D133/30),1))</f>
        <v/>
      </c>
      <c r="M133" s="14">
        <f>IF(COUNT(E133,F133)&lt;2,"",ROUND(E133*(1+F133/30),1))</f>
        <v/>
      </c>
      <c r="N133" s="14">
        <f>IF(COUNT(C133:F133)=0,"",IF(COUNT(C133,D133)=2,C133*D133,0)+IF(COUNT(E133,F133)=2,E133*F133,0))</f>
        <v/>
      </c>
      <c r="O133" s="14">
        <f>IF($A133="","",IF(COUNTIFS('Sessions'!$P$3:$P$202,P133)=0,"⚠ no Finger curls session row","ok"))</f>
        <v/>
      </c>
      <c r="P133" s="15">
        <f>IF($A133="","",$A133*10+2)</f>
        <v/>
      </c>
    </row>
    <row r="134">
      <c r="A134" s="11" t="n"/>
      <c r="J134" s="13" t="n"/>
      <c r="K134" s="15">
        <f>IF($A134="","",IF(B134&lt;&gt;"",B134,COUNTIFS($P$3:P134,P134)))</f>
        <v/>
      </c>
      <c r="L134" s="14">
        <f>IF(COUNT(C134,D134)&lt;2,"",ROUND(C134*(1+D134/30),1))</f>
        <v/>
      </c>
      <c r="M134" s="14">
        <f>IF(COUNT(E134,F134)&lt;2,"",ROUND(E134*(1+F134/30),1))</f>
        <v/>
      </c>
      <c r="N134" s="14">
        <f>IF(COUNT(C134:F134)=0,"",IF(COUNT(C134,D134)=2,C134*D134,0)+IF(COUNT(E134,F134)=2,E134*F134,0))</f>
        <v/>
      </c>
      <c r="O134" s="14">
        <f>IF($A134="","",IF(COUNTIFS('Sessions'!$P$3:$P$202,P134)=0,"⚠ no Finger curls session row","ok"))</f>
        <v/>
      </c>
      <c r="P134" s="15">
        <f>IF($A134="","",$A134*10+2)</f>
        <v/>
      </c>
    </row>
    <row r="135">
      <c r="A135" s="11" t="n"/>
      <c r="J135" s="13" t="n"/>
      <c r="K135" s="15">
        <f>IF($A135="","",IF(B135&lt;&gt;"",B135,COUNTIFS($P$3:P135,P135)))</f>
        <v/>
      </c>
      <c r="L135" s="14">
        <f>IF(COUNT(C135,D135)&lt;2,"",ROUND(C135*(1+D135/30),1))</f>
        <v/>
      </c>
      <c r="M135" s="14">
        <f>IF(COUNT(E135,F135)&lt;2,"",ROUND(E135*(1+F135/30),1))</f>
        <v/>
      </c>
      <c r="N135" s="14">
        <f>IF(COUNT(C135:F135)=0,"",IF(COUNT(C135,D135)=2,C135*D135,0)+IF(COUNT(E135,F135)=2,E135*F135,0))</f>
        <v/>
      </c>
      <c r="O135" s="14">
        <f>IF($A135="","",IF(COUNTIFS('Sessions'!$P$3:$P$202,P135)=0,"⚠ no Finger curls session row","ok"))</f>
        <v/>
      </c>
      <c r="P135" s="15">
        <f>IF($A135="","",$A135*10+2)</f>
        <v/>
      </c>
    </row>
    <row r="136">
      <c r="A136" s="11" t="n"/>
      <c r="J136" s="13" t="n"/>
      <c r="K136" s="15">
        <f>IF($A136="","",IF(B136&lt;&gt;"",B136,COUNTIFS($P$3:P136,P136)))</f>
        <v/>
      </c>
      <c r="L136" s="14">
        <f>IF(COUNT(C136,D136)&lt;2,"",ROUND(C136*(1+D136/30),1))</f>
        <v/>
      </c>
      <c r="M136" s="14">
        <f>IF(COUNT(E136,F136)&lt;2,"",ROUND(E136*(1+F136/30),1))</f>
        <v/>
      </c>
      <c r="N136" s="14">
        <f>IF(COUNT(C136:F136)=0,"",IF(COUNT(C136,D136)=2,C136*D136,0)+IF(COUNT(E136,F136)=2,E136*F136,0))</f>
        <v/>
      </c>
      <c r="O136" s="14">
        <f>IF($A136="","",IF(COUNTIFS('Sessions'!$P$3:$P$202,P136)=0,"⚠ no Finger curls session row","ok"))</f>
        <v/>
      </c>
      <c r="P136" s="15">
        <f>IF($A136="","",$A136*10+2)</f>
        <v/>
      </c>
    </row>
    <row r="137">
      <c r="A137" s="11" t="n"/>
      <c r="J137" s="13" t="n"/>
      <c r="K137" s="15">
        <f>IF($A137="","",IF(B137&lt;&gt;"",B137,COUNTIFS($P$3:P137,P137)))</f>
        <v/>
      </c>
      <c r="L137" s="14">
        <f>IF(COUNT(C137,D137)&lt;2,"",ROUND(C137*(1+D137/30),1))</f>
        <v/>
      </c>
      <c r="M137" s="14">
        <f>IF(COUNT(E137,F137)&lt;2,"",ROUND(E137*(1+F137/30),1))</f>
        <v/>
      </c>
      <c r="N137" s="14">
        <f>IF(COUNT(C137:F137)=0,"",IF(COUNT(C137,D137)=2,C137*D137,0)+IF(COUNT(E137,F137)=2,E137*F137,0))</f>
        <v/>
      </c>
      <c r="O137" s="14">
        <f>IF($A137="","",IF(COUNTIFS('Sessions'!$P$3:$P$202,P137)=0,"⚠ no Finger curls session row","ok"))</f>
        <v/>
      </c>
      <c r="P137" s="15">
        <f>IF($A137="","",$A137*10+2)</f>
        <v/>
      </c>
    </row>
    <row r="138">
      <c r="A138" s="11" t="n"/>
      <c r="J138" s="13" t="n"/>
      <c r="K138" s="15">
        <f>IF($A138="","",IF(B138&lt;&gt;"",B138,COUNTIFS($P$3:P138,P138)))</f>
        <v/>
      </c>
      <c r="L138" s="14">
        <f>IF(COUNT(C138,D138)&lt;2,"",ROUND(C138*(1+D138/30),1))</f>
        <v/>
      </c>
      <c r="M138" s="14">
        <f>IF(COUNT(E138,F138)&lt;2,"",ROUND(E138*(1+F138/30),1))</f>
        <v/>
      </c>
      <c r="N138" s="14">
        <f>IF(COUNT(C138:F138)=0,"",IF(COUNT(C138,D138)=2,C138*D138,0)+IF(COUNT(E138,F138)=2,E138*F138,0))</f>
        <v/>
      </c>
      <c r="O138" s="14">
        <f>IF($A138="","",IF(COUNTIFS('Sessions'!$P$3:$P$202,P138)=0,"⚠ no Finger curls session row","ok"))</f>
        <v/>
      </c>
      <c r="P138" s="15">
        <f>IF($A138="","",$A138*10+2)</f>
        <v/>
      </c>
    </row>
    <row r="139">
      <c r="A139" s="11" t="n"/>
      <c r="J139" s="13" t="n"/>
      <c r="K139" s="15">
        <f>IF($A139="","",IF(B139&lt;&gt;"",B139,COUNTIFS($P$3:P139,P139)))</f>
        <v/>
      </c>
      <c r="L139" s="14">
        <f>IF(COUNT(C139,D139)&lt;2,"",ROUND(C139*(1+D139/30),1))</f>
        <v/>
      </c>
      <c r="M139" s="14">
        <f>IF(COUNT(E139,F139)&lt;2,"",ROUND(E139*(1+F139/30),1))</f>
        <v/>
      </c>
      <c r="N139" s="14">
        <f>IF(COUNT(C139:F139)=0,"",IF(COUNT(C139,D139)=2,C139*D139,0)+IF(COUNT(E139,F139)=2,E139*F139,0))</f>
        <v/>
      </c>
      <c r="O139" s="14">
        <f>IF($A139="","",IF(COUNTIFS('Sessions'!$P$3:$P$202,P139)=0,"⚠ no Finger curls session row","ok"))</f>
        <v/>
      </c>
      <c r="P139" s="15">
        <f>IF($A139="","",$A139*10+2)</f>
        <v/>
      </c>
    </row>
    <row r="140">
      <c r="A140" s="11" t="n"/>
      <c r="J140" s="13" t="n"/>
      <c r="K140" s="15">
        <f>IF($A140="","",IF(B140&lt;&gt;"",B140,COUNTIFS($P$3:P140,P140)))</f>
        <v/>
      </c>
      <c r="L140" s="14">
        <f>IF(COUNT(C140,D140)&lt;2,"",ROUND(C140*(1+D140/30),1))</f>
        <v/>
      </c>
      <c r="M140" s="14">
        <f>IF(COUNT(E140,F140)&lt;2,"",ROUND(E140*(1+F140/30),1))</f>
        <v/>
      </c>
      <c r="N140" s="14">
        <f>IF(COUNT(C140:F140)=0,"",IF(COUNT(C140,D140)=2,C140*D140,0)+IF(COUNT(E140,F140)=2,E140*F140,0))</f>
        <v/>
      </c>
      <c r="O140" s="14">
        <f>IF($A140="","",IF(COUNTIFS('Sessions'!$P$3:$P$202,P140)=0,"⚠ no Finger curls session row","ok"))</f>
        <v/>
      </c>
      <c r="P140" s="15">
        <f>IF($A140="","",$A140*10+2)</f>
        <v/>
      </c>
    </row>
    <row r="141">
      <c r="A141" s="11" t="n"/>
      <c r="J141" s="13" t="n"/>
      <c r="K141" s="15">
        <f>IF($A141="","",IF(B141&lt;&gt;"",B141,COUNTIFS($P$3:P141,P141)))</f>
        <v/>
      </c>
      <c r="L141" s="14">
        <f>IF(COUNT(C141,D141)&lt;2,"",ROUND(C141*(1+D141/30),1))</f>
        <v/>
      </c>
      <c r="M141" s="14">
        <f>IF(COUNT(E141,F141)&lt;2,"",ROUND(E141*(1+F141/30),1))</f>
        <v/>
      </c>
      <c r="N141" s="14">
        <f>IF(COUNT(C141:F141)=0,"",IF(COUNT(C141,D141)=2,C141*D141,0)+IF(COUNT(E141,F141)=2,E141*F141,0))</f>
        <v/>
      </c>
      <c r="O141" s="14">
        <f>IF($A141="","",IF(COUNTIFS('Sessions'!$P$3:$P$202,P141)=0,"⚠ no Finger curls session row","ok"))</f>
        <v/>
      </c>
      <c r="P141" s="15">
        <f>IF($A141="","",$A141*10+2)</f>
        <v/>
      </c>
    </row>
    <row r="142">
      <c r="A142" s="11" t="n"/>
      <c r="J142" s="13" t="n"/>
      <c r="K142" s="15">
        <f>IF($A142="","",IF(B142&lt;&gt;"",B142,COUNTIFS($P$3:P142,P142)))</f>
        <v/>
      </c>
      <c r="L142" s="14">
        <f>IF(COUNT(C142,D142)&lt;2,"",ROUND(C142*(1+D142/30),1))</f>
        <v/>
      </c>
      <c r="M142" s="14">
        <f>IF(COUNT(E142,F142)&lt;2,"",ROUND(E142*(1+F142/30),1))</f>
        <v/>
      </c>
      <c r="N142" s="14">
        <f>IF(COUNT(C142:F142)=0,"",IF(COUNT(C142,D142)=2,C142*D142,0)+IF(COUNT(E142,F142)=2,E142*F142,0))</f>
        <v/>
      </c>
      <c r="O142" s="14">
        <f>IF($A142="","",IF(COUNTIFS('Sessions'!$P$3:$P$202,P142)=0,"⚠ no Finger curls session row","ok"))</f>
        <v/>
      </c>
      <c r="P142" s="15">
        <f>IF($A142="","",$A142*10+2)</f>
        <v/>
      </c>
    </row>
    <row r="143">
      <c r="A143" s="11" t="n"/>
      <c r="J143" s="13" t="n"/>
      <c r="K143" s="15">
        <f>IF($A143="","",IF(B143&lt;&gt;"",B143,COUNTIFS($P$3:P143,P143)))</f>
        <v/>
      </c>
      <c r="L143" s="14">
        <f>IF(COUNT(C143,D143)&lt;2,"",ROUND(C143*(1+D143/30),1))</f>
        <v/>
      </c>
      <c r="M143" s="14">
        <f>IF(COUNT(E143,F143)&lt;2,"",ROUND(E143*(1+F143/30),1))</f>
        <v/>
      </c>
      <c r="N143" s="14">
        <f>IF(COUNT(C143:F143)=0,"",IF(COUNT(C143,D143)=2,C143*D143,0)+IF(COUNT(E143,F143)=2,E143*F143,0))</f>
        <v/>
      </c>
      <c r="O143" s="14">
        <f>IF($A143="","",IF(COUNTIFS('Sessions'!$P$3:$P$202,P143)=0,"⚠ no Finger curls session row","ok"))</f>
        <v/>
      </c>
      <c r="P143" s="15">
        <f>IF($A143="","",$A143*10+2)</f>
        <v/>
      </c>
    </row>
    <row r="144">
      <c r="A144" s="11" t="n"/>
      <c r="J144" s="13" t="n"/>
      <c r="K144" s="15">
        <f>IF($A144="","",IF(B144&lt;&gt;"",B144,COUNTIFS($P$3:P144,P144)))</f>
        <v/>
      </c>
      <c r="L144" s="14">
        <f>IF(COUNT(C144,D144)&lt;2,"",ROUND(C144*(1+D144/30),1))</f>
        <v/>
      </c>
      <c r="M144" s="14">
        <f>IF(COUNT(E144,F144)&lt;2,"",ROUND(E144*(1+F144/30),1))</f>
        <v/>
      </c>
      <c r="N144" s="14">
        <f>IF(COUNT(C144:F144)=0,"",IF(COUNT(C144,D144)=2,C144*D144,0)+IF(COUNT(E144,F144)=2,E144*F144,0))</f>
        <v/>
      </c>
      <c r="O144" s="14">
        <f>IF($A144="","",IF(COUNTIFS('Sessions'!$P$3:$P$202,P144)=0,"⚠ no Finger curls session row","ok"))</f>
        <v/>
      </c>
      <c r="P144" s="15">
        <f>IF($A144="","",$A144*10+2)</f>
        <v/>
      </c>
    </row>
    <row r="145">
      <c r="A145" s="11" t="n"/>
      <c r="J145" s="13" t="n"/>
      <c r="K145" s="15">
        <f>IF($A145="","",IF(B145&lt;&gt;"",B145,COUNTIFS($P$3:P145,P145)))</f>
        <v/>
      </c>
      <c r="L145" s="14">
        <f>IF(COUNT(C145,D145)&lt;2,"",ROUND(C145*(1+D145/30),1))</f>
        <v/>
      </c>
      <c r="M145" s="14">
        <f>IF(COUNT(E145,F145)&lt;2,"",ROUND(E145*(1+F145/30),1))</f>
        <v/>
      </c>
      <c r="N145" s="14">
        <f>IF(COUNT(C145:F145)=0,"",IF(COUNT(C145,D145)=2,C145*D145,0)+IF(COUNT(E145,F145)=2,E145*F145,0))</f>
        <v/>
      </c>
      <c r="O145" s="14">
        <f>IF($A145="","",IF(COUNTIFS('Sessions'!$P$3:$P$202,P145)=0,"⚠ no Finger curls session row","ok"))</f>
        <v/>
      </c>
      <c r="P145" s="15">
        <f>IF($A145="","",$A145*10+2)</f>
        <v/>
      </c>
    </row>
    <row r="146">
      <c r="A146" s="11" t="n"/>
      <c r="J146" s="13" t="n"/>
      <c r="K146" s="15">
        <f>IF($A146="","",IF(B146&lt;&gt;"",B146,COUNTIFS($P$3:P146,P146)))</f>
        <v/>
      </c>
      <c r="L146" s="14">
        <f>IF(COUNT(C146,D146)&lt;2,"",ROUND(C146*(1+D146/30),1))</f>
        <v/>
      </c>
      <c r="M146" s="14">
        <f>IF(COUNT(E146,F146)&lt;2,"",ROUND(E146*(1+F146/30),1))</f>
        <v/>
      </c>
      <c r="N146" s="14">
        <f>IF(COUNT(C146:F146)=0,"",IF(COUNT(C146,D146)=2,C146*D146,0)+IF(COUNT(E146,F146)=2,E146*F146,0))</f>
        <v/>
      </c>
      <c r="O146" s="14">
        <f>IF($A146="","",IF(COUNTIFS('Sessions'!$P$3:$P$202,P146)=0,"⚠ no Finger curls session row","ok"))</f>
        <v/>
      </c>
      <c r="P146" s="15">
        <f>IF($A146="","",$A146*10+2)</f>
        <v/>
      </c>
    </row>
    <row r="147">
      <c r="A147" s="11" t="n"/>
      <c r="J147" s="13" t="n"/>
      <c r="K147" s="15">
        <f>IF($A147="","",IF(B147&lt;&gt;"",B147,COUNTIFS($P$3:P147,P147)))</f>
        <v/>
      </c>
      <c r="L147" s="14">
        <f>IF(COUNT(C147,D147)&lt;2,"",ROUND(C147*(1+D147/30),1))</f>
        <v/>
      </c>
      <c r="M147" s="14">
        <f>IF(COUNT(E147,F147)&lt;2,"",ROUND(E147*(1+F147/30),1))</f>
        <v/>
      </c>
      <c r="N147" s="14">
        <f>IF(COUNT(C147:F147)=0,"",IF(COUNT(C147,D147)=2,C147*D147,0)+IF(COUNT(E147,F147)=2,E147*F147,0))</f>
        <v/>
      </c>
      <c r="O147" s="14">
        <f>IF($A147="","",IF(COUNTIFS('Sessions'!$P$3:$P$202,P147)=0,"⚠ no Finger curls session row","ok"))</f>
        <v/>
      </c>
      <c r="P147" s="15">
        <f>IF($A147="","",$A147*10+2)</f>
        <v/>
      </c>
    </row>
    <row r="148">
      <c r="A148" s="11" t="n"/>
      <c r="J148" s="13" t="n"/>
      <c r="K148" s="15">
        <f>IF($A148="","",IF(B148&lt;&gt;"",B148,COUNTIFS($P$3:P148,P148)))</f>
        <v/>
      </c>
      <c r="L148" s="14">
        <f>IF(COUNT(C148,D148)&lt;2,"",ROUND(C148*(1+D148/30),1))</f>
        <v/>
      </c>
      <c r="M148" s="14">
        <f>IF(COUNT(E148,F148)&lt;2,"",ROUND(E148*(1+F148/30),1))</f>
        <v/>
      </c>
      <c r="N148" s="14">
        <f>IF(COUNT(C148:F148)=0,"",IF(COUNT(C148,D148)=2,C148*D148,0)+IF(COUNT(E148,F148)=2,E148*F148,0))</f>
        <v/>
      </c>
      <c r="O148" s="14">
        <f>IF($A148="","",IF(COUNTIFS('Sessions'!$P$3:$P$202,P148)=0,"⚠ no Finger curls session row","ok"))</f>
        <v/>
      </c>
      <c r="P148" s="15">
        <f>IF($A148="","",$A148*10+2)</f>
        <v/>
      </c>
    </row>
    <row r="149">
      <c r="A149" s="11" t="n"/>
      <c r="J149" s="13" t="n"/>
      <c r="K149" s="15">
        <f>IF($A149="","",IF(B149&lt;&gt;"",B149,COUNTIFS($P$3:P149,P149)))</f>
        <v/>
      </c>
      <c r="L149" s="14">
        <f>IF(COUNT(C149,D149)&lt;2,"",ROUND(C149*(1+D149/30),1))</f>
        <v/>
      </c>
      <c r="M149" s="14">
        <f>IF(COUNT(E149,F149)&lt;2,"",ROUND(E149*(1+F149/30),1))</f>
        <v/>
      </c>
      <c r="N149" s="14">
        <f>IF(COUNT(C149:F149)=0,"",IF(COUNT(C149,D149)=2,C149*D149,0)+IF(COUNT(E149,F149)=2,E149*F149,0))</f>
        <v/>
      </c>
      <c r="O149" s="14">
        <f>IF($A149="","",IF(COUNTIFS('Sessions'!$P$3:$P$202,P149)=0,"⚠ no Finger curls session row","ok"))</f>
        <v/>
      </c>
      <c r="P149" s="15">
        <f>IF($A149="","",$A149*10+2)</f>
        <v/>
      </c>
    </row>
    <row r="150">
      <c r="A150" s="11" t="n"/>
      <c r="J150" s="13" t="n"/>
      <c r="K150" s="15">
        <f>IF($A150="","",IF(B150&lt;&gt;"",B150,COUNTIFS($P$3:P150,P150)))</f>
        <v/>
      </c>
      <c r="L150" s="14">
        <f>IF(COUNT(C150,D150)&lt;2,"",ROUND(C150*(1+D150/30),1))</f>
        <v/>
      </c>
      <c r="M150" s="14">
        <f>IF(COUNT(E150,F150)&lt;2,"",ROUND(E150*(1+F150/30),1))</f>
        <v/>
      </c>
      <c r="N150" s="14">
        <f>IF(COUNT(C150:F150)=0,"",IF(COUNT(C150,D150)=2,C150*D150,0)+IF(COUNT(E150,F150)=2,E150*F150,0))</f>
        <v/>
      </c>
      <c r="O150" s="14">
        <f>IF($A150="","",IF(COUNTIFS('Sessions'!$P$3:$P$202,P150)=0,"⚠ no Finger curls session row","ok"))</f>
        <v/>
      </c>
      <c r="P150" s="15">
        <f>IF($A150="","",$A150*10+2)</f>
        <v/>
      </c>
    </row>
    <row r="151">
      <c r="A151" s="11" t="n"/>
      <c r="J151" s="13" t="n"/>
      <c r="K151" s="15">
        <f>IF($A151="","",IF(B151&lt;&gt;"",B151,COUNTIFS($P$3:P151,P151)))</f>
        <v/>
      </c>
      <c r="L151" s="14">
        <f>IF(COUNT(C151,D151)&lt;2,"",ROUND(C151*(1+D151/30),1))</f>
        <v/>
      </c>
      <c r="M151" s="14">
        <f>IF(COUNT(E151,F151)&lt;2,"",ROUND(E151*(1+F151/30),1))</f>
        <v/>
      </c>
      <c r="N151" s="14">
        <f>IF(COUNT(C151:F151)=0,"",IF(COUNT(C151,D151)=2,C151*D151,0)+IF(COUNT(E151,F151)=2,E151*F151,0))</f>
        <v/>
      </c>
      <c r="O151" s="14">
        <f>IF($A151="","",IF(COUNTIFS('Sessions'!$P$3:$P$202,P151)=0,"⚠ no Finger curls session row","ok"))</f>
        <v/>
      </c>
      <c r="P151" s="15">
        <f>IF($A151="","",$A151*10+2)</f>
        <v/>
      </c>
    </row>
    <row r="152">
      <c r="A152" s="11" t="n"/>
      <c r="J152" s="13" t="n"/>
      <c r="K152" s="15">
        <f>IF($A152="","",IF(B152&lt;&gt;"",B152,COUNTIFS($P$3:P152,P152)))</f>
        <v/>
      </c>
      <c r="L152" s="14">
        <f>IF(COUNT(C152,D152)&lt;2,"",ROUND(C152*(1+D152/30),1))</f>
        <v/>
      </c>
      <c r="M152" s="14">
        <f>IF(COUNT(E152,F152)&lt;2,"",ROUND(E152*(1+F152/30),1))</f>
        <v/>
      </c>
      <c r="N152" s="14">
        <f>IF(COUNT(C152:F152)=0,"",IF(COUNT(C152,D152)=2,C152*D152,0)+IF(COUNT(E152,F152)=2,E152*F152,0))</f>
        <v/>
      </c>
      <c r="O152" s="14">
        <f>IF($A152="","",IF(COUNTIFS('Sessions'!$P$3:$P$202,P152)=0,"⚠ no Finger curls session row","ok"))</f>
        <v/>
      </c>
      <c r="P152" s="15">
        <f>IF($A152="","",$A152*10+2)</f>
        <v/>
      </c>
    </row>
    <row r="153">
      <c r="A153" s="11" t="n"/>
      <c r="J153" s="13" t="n"/>
      <c r="K153" s="15">
        <f>IF($A153="","",IF(B153&lt;&gt;"",B153,COUNTIFS($P$3:P153,P153)))</f>
        <v/>
      </c>
      <c r="L153" s="14">
        <f>IF(COUNT(C153,D153)&lt;2,"",ROUND(C153*(1+D153/30),1))</f>
        <v/>
      </c>
      <c r="M153" s="14">
        <f>IF(COUNT(E153,F153)&lt;2,"",ROUND(E153*(1+F153/30),1))</f>
        <v/>
      </c>
      <c r="N153" s="14">
        <f>IF(COUNT(C153:F153)=0,"",IF(COUNT(C153,D153)=2,C153*D153,0)+IF(COUNT(E153,F153)=2,E153*F153,0))</f>
        <v/>
      </c>
      <c r="O153" s="14">
        <f>IF($A153="","",IF(COUNTIFS('Sessions'!$P$3:$P$202,P153)=0,"⚠ no Finger curls session row","ok"))</f>
        <v/>
      </c>
      <c r="P153" s="15">
        <f>IF($A153="","",$A153*10+2)</f>
        <v/>
      </c>
    </row>
    <row r="154">
      <c r="A154" s="11" t="n"/>
      <c r="J154" s="13" t="n"/>
      <c r="K154" s="15">
        <f>IF($A154="","",IF(B154&lt;&gt;"",B154,COUNTIFS($P$3:P154,P154)))</f>
        <v/>
      </c>
      <c r="L154" s="14">
        <f>IF(COUNT(C154,D154)&lt;2,"",ROUND(C154*(1+D154/30),1))</f>
        <v/>
      </c>
      <c r="M154" s="14">
        <f>IF(COUNT(E154,F154)&lt;2,"",ROUND(E154*(1+F154/30),1))</f>
        <v/>
      </c>
      <c r="N154" s="14">
        <f>IF(COUNT(C154:F154)=0,"",IF(COUNT(C154,D154)=2,C154*D154,0)+IF(COUNT(E154,F154)=2,E154*F154,0))</f>
        <v/>
      </c>
      <c r="O154" s="14">
        <f>IF($A154="","",IF(COUNTIFS('Sessions'!$P$3:$P$202,P154)=0,"⚠ no Finger curls session row","ok"))</f>
        <v/>
      </c>
      <c r="P154" s="15">
        <f>IF($A154="","",$A154*10+2)</f>
        <v/>
      </c>
    </row>
    <row r="155">
      <c r="A155" s="11" t="n"/>
      <c r="J155" s="13" t="n"/>
      <c r="K155" s="15">
        <f>IF($A155="","",IF(B155&lt;&gt;"",B155,COUNTIFS($P$3:P155,P155)))</f>
        <v/>
      </c>
      <c r="L155" s="14">
        <f>IF(COUNT(C155,D155)&lt;2,"",ROUND(C155*(1+D155/30),1))</f>
        <v/>
      </c>
      <c r="M155" s="14">
        <f>IF(COUNT(E155,F155)&lt;2,"",ROUND(E155*(1+F155/30),1))</f>
        <v/>
      </c>
      <c r="N155" s="14">
        <f>IF(COUNT(C155:F155)=0,"",IF(COUNT(C155,D155)=2,C155*D155,0)+IF(COUNT(E155,F155)=2,E155*F155,0))</f>
        <v/>
      </c>
      <c r="O155" s="14">
        <f>IF($A155="","",IF(COUNTIFS('Sessions'!$P$3:$P$202,P155)=0,"⚠ no Finger curls session row","ok"))</f>
        <v/>
      </c>
      <c r="P155" s="15">
        <f>IF($A155="","",$A155*10+2)</f>
        <v/>
      </c>
    </row>
    <row r="156">
      <c r="A156" s="11" t="n"/>
      <c r="J156" s="13" t="n"/>
      <c r="K156" s="15">
        <f>IF($A156="","",IF(B156&lt;&gt;"",B156,COUNTIFS($P$3:P156,P156)))</f>
        <v/>
      </c>
      <c r="L156" s="14">
        <f>IF(COUNT(C156,D156)&lt;2,"",ROUND(C156*(1+D156/30),1))</f>
        <v/>
      </c>
      <c r="M156" s="14">
        <f>IF(COUNT(E156,F156)&lt;2,"",ROUND(E156*(1+F156/30),1))</f>
        <v/>
      </c>
      <c r="N156" s="14">
        <f>IF(COUNT(C156:F156)=0,"",IF(COUNT(C156,D156)=2,C156*D156,0)+IF(COUNT(E156,F156)=2,E156*F156,0))</f>
        <v/>
      </c>
      <c r="O156" s="14">
        <f>IF($A156="","",IF(COUNTIFS('Sessions'!$P$3:$P$202,P156)=0,"⚠ no Finger curls session row","ok"))</f>
        <v/>
      </c>
      <c r="P156" s="15">
        <f>IF($A156="","",$A156*10+2)</f>
        <v/>
      </c>
    </row>
    <row r="157">
      <c r="A157" s="11" t="n"/>
      <c r="J157" s="13" t="n"/>
      <c r="K157" s="15">
        <f>IF($A157="","",IF(B157&lt;&gt;"",B157,COUNTIFS($P$3:P157,P157)))</f>
        <v/>
      </c>
      <c r="L157" s="14">
        <f>IF(COUNT(C157,D157)&lt;2,"",ROUND(C157*(1+D157/30),1))</f>
        <v/>
      </c>
      <c r="M157" s="14">
        <f>IF(COUNT(E157,F157)&lt;2,"",ROUND(E157*(1+F157/30),1))</f>
        <v/>
      </c>
      <c r="N157" s="14">
        <f>IF(COUNT(C157:F157)=0,"",IF(COUNT(C157,D157)=2,C157*D157,0)+IF(COUNT(E157,F157)=2,E157*F157,0))</f>
        <v/>
      </c>
      <c r="O157" s="14">
        <f>IF($A157="","",IF(COUNTIFS('Sessions'!$P$3:$P$202,P157)=0,"⚠ no Finger curls session row","ok"))</f>
        <v/>
      </c>
      <c r="P157" s="15">
        <f>IF($A157="","",$A157*10+2)</f>
        <v/>
      </c>
    </row>
    <row r="158">
      <c r="A158" s="11" t="n"/>
      <c r="J158" s="13" t="n"/>
      <c r="K158" s="15">
        <f>IF($A158="","",IF(B158&lt;&gt;"",B158,COUNTIFS($P$3:P158,P158)))</f>
        <v/>
      </c>
      <c r="L158" s="14">
        <f>IF(COUNT(C158,D158)&lt;2,"",ROUND(C158*(1+D158/30),1))</f>
        <v/>
      </c>
      <c r="M158" s="14">
        <f>IF(COUNT(E158,F158)&lt;2,"",ROUND(E158*(1+F158/30),1))</f>
        <v/>
      </c>
      <c r="N158" s="14">
        <f>IF(COUNT(C158:F158)=0,"",IF(COUNT(C158,D158)=2,C158*D158,0)+IF(COUNT(E158,F158)=2,E158*F158,0))</f>
        <v/>
      </c>
      <c r="O158" s="14">
        <f>IF($A158="","",IF(COUNTIFS('Sessions'!$P$3:$P$202,P158)=0,"⚠ no Finger curls session row","ok"))</f>
        <v/>
      </c>
      <c r="P158" s="15">
        <f>IF($A158="","",$A158*10+2)</f>
        <v/>
      </c>
    </row>
    <row r="159">
      <c r="A159" s="11" t="n"/>
      <c r="J159" s="13" t="n"/>
      <c r="K159" s="15">
        <f>IF($A159="","",IF(B159&lt;&gt;"",B159,COUNTIFS($P$3:P159,P159)))</f>
        <v/>
      </c>
      <c r="L159" s="14">
        <f>IF(COUNT(C159,D159)&lt;2,"",ROUND(C159*(1+D159/30),1))</f>
        <v/>
      </c>
      <c r="M159" s="14">
        <f>IF(COUNT(E159,F159)&lt;2,"",ROUND(E159*(1+F159/30),1))</f>
        <v/>
      </c>
      <c r="N159" s="14">
        <f>IF(COUNT(C159:F159)=0,"",IF(COUNT(C159,D159)=2,C159*D159,0)+IF(COUNT(E159,F159)=2,E159*F159,0))</f>
        <v/>
      </c>
      <c r="O159" s="14">
        <f>IF($A159="","",IF(COUNTIFS('Sessions'!$P$3:$P$202,P159)=0,"⚠ no Finger curls session row","ok"))</f>
        <v/>
      </c>
      <c r="P159" s="15">
        <f>IF($A159="","",$A159*10+2)</f>
        <v/>
      </c>
    </row>
    <row r="160">
      <c r="A160" s="11" t="n"/>
      <c r="J160" s="13" t="n"/>
      <c r="K160" s="15">
        <f>IF($A160="","",IF(B160&lt;&gt;"",B160,COUNTIFS($P$3:P160,P160)))</f>
        <v/>
      </c>
      <c r="L160" s="14">
        <f>IF(COUNT(C160,D160)&lt;2,"",ROUND(C160*(1+D160/30),1))</f>
        <v/>
      </c>
      <c r="M160" s="14">
        <f>IF(COUNT(E160,F160)&lt;2,"",ROUND(E160*(1+F160/30),1))</f>
        <v/>
      </c>
      <c r="N160" s="14">
        <f>IF(COUNT(C160:F160)=0,"",IF(COUNT(C160,D160)=2,C160*D160,0)+IF(COUNT(E160,F160)=2,E160*F160,0))</f>
        <v/>
      </c>
      <c r="O160" s="14">
        <f>IF($A160="","",IF(COUNTIFS('Sessions'!$P$3:$P$202,P160)=0,"⚠ no Finger curls session row","ok"))</f>
        <v/>
      </c>
      <c r="P160" s="15">
        <f>IF($A160="","",$A160*10+2)</f>
        <v/>
      </c>
    </row>
    <row r="161">
      <c r="A161" s="11" t="n"/>
      <c r="J161" s="13" t="n"/>
      <c r="K161" s="15">
        <f>IF($A161="","",IF(B161&lt;&gt;"",B161,COUNTIFS($P$3:P161,P161)))</f>
        <v/>
      </c>
      <c r="L161" s="14">
        <f>IF(COUNT(C161,D161)&lt;2,"",ROUND(C161*(1+D161/30),1))</f>
        <v/>
      </c>
      <c r="M161" s="14">
        <f>IF(COUNT(E161,F161)&lt;2,"",ROUND(E161*(1+F161/30),1))</f>
        <v/>
      </c>
      <c r="N161" s="14">
        <f>IF(COUNT(C161:F161)=0,"",IF(COUNT(C161,D161)=2,C161*D161,0)+IF(COUNT(E161,F161)=2,E161*F161,0))</f>
        <v/>
      </c>
      <c r="O161" s="14">
        <f>IF($A161="","",IF(COUNTIFS('Sessions'!$P$3:$P$202,P161)=0,"⚠ no Finger curls session row","ok"))</f>
        <v/>
      </c>
      <c r="P161" s="15">
        <f>IF($A161="","",$A161*10+2)</f>
        <v/>
      </c>
    </row>
    <row r="162">
      <c r="A162" s="11" t="n"/>
      <c r="J162" s="13" t="n"/>
      <c r="K162" s="15">
        <f>IF($A162="","",IF(B162&lt;&gt;"",B162,COUNTIFS($P$3:P162,P162)))</f>
        <v/>
      </c>
      <c r="L162" s="14">
        <f>IF(COUNT(C162,D162)&lt;2,"",ROUND(C162*(1+D162/30),1))</f>
        <v/>
      </c>
      <c r="M162" s="14">
        <f>IF(COUNT(E162,F162)&lt;2,"",ROUND(E162*(1+F162/30),1))</f>
        <v/>
      </c>
      <c r="N162" s="14">
        <f>IF(COUNT(C162:F162)=0,"",IF(COUNT(C162,D162)=2,C162*D162,0)+IF(COUNT(E162,F162)=2,E162*F162,0))</f>
        <v/>
      </c>
      <c r="O162" s="14">
        <f>IF($A162="","",IF(COUNTIFS('Sessions'!$P$3:$P$202,P162)=0,"⚠ no Finger curls session row","ok"))</f>
        <v/>
      </c>
      <c r="P162" s="15">
        <f>IF($A162="","",$A162*10+2)</f>
        <v/>
      </c>
    </row>
    <row r="163">
      <c r="A163" s="11" t="n"/>
      <c r="J163" s="13" t="n"/>
      <c r="K163" s="15">
        <f>IF($A163="","",IF(B163&lt;&gt;"",B163,COUNTIFS($P$3:P163,P163)))</f>
        <v/>
      </c>
      <c r="L163" s="14">
        <f>IF(COUNT(C163,D163)&lt;2,"",ROUND(C163*(1+D163/30),1))</f>
        <v/>
      </c>
      <c r="M163" s="14">
        <f>IF(COUNT(E163,F163)&lt;2,"",ROUND(E163*(1+F163/30),1))</f>
        <v/>
      </c>
      <c r="N163" s="14">
        <f>IF(COUNT(C163:F163)=0,"",IF(COUNT(C163,D163)=2,C163*D163,0)+IF(COUNT(E163,F163)=2,E163*F163,0))</f>
        <v/>
      </c>
      <c r="O163" s="14">
        <f>IF($A163="","",IF(COUNTIFS('Sessions'!$P$3:$P$202,P163)=0,"⚠ no Finger curls session row","ok"))</f>
        <v/>
      </c>
      <c r="P163" s="15">
        <f>IF($A163="","",$A163*10+2)</f>
        <v/>
      </c>
    </row>
    <row r="164">
      <c r="A164" s="11" t="n"/>
      <c r="J164" s="13" t="n"/>
      <c r="K164" s="15">
        <f>IF($A164="","",IF(B164&lt;&gt;"",B164,COUNTIFS($P$3:P164,P164)))</f>
        <v/>
      </c>
      <c r="L164" s="14">
        <f>IF(COUNT(C164,D164)&lt;2,"",ROUND(C164*(1+D164/30),1))</f>
        <v/>
      </c>
      <c r="M164" s="14">
        <f>IF(COUNT(E164,F164)&lt;2,"",ROUND(E164*(1+F164/30),1))</f>
        <v/>
      </c>
      <c r="N164" s="14">
        <f>IF(COUNT(C164:F164)=0,"",IF(COUNT(C164,D164)=2,C164*D164,0)+IF(COUNT(E164,F164)=2,E164*F164,0))</f>
        <v/>
      </c>
      <c r="O164" s="14">
        <f>IF($A164="","",IF(COUNTIFS('Sessions'!$P$3:$P$202,P164)=0,"⚠ no Finger curls session row","ok"))</f>
        <v/>
      </c>
      <c r="P164" s="15">
        <f>IF($A164="","",$A164*10+2)</f>
        <v/>
      </c>
    </row>
    <row r="165">
      <c r="A165" s="11" t="n"/>
      <c r="J165" s="13" t="n"/>
      <c r="K165" s="15">
        <f>IF($A165="","",IF(B165&lt;&gt;"",B165,COUNTIFS($P$3:P165,P165)))</f>
        <v/>
      </c>
      <c r="L165" s="14">
        <f>IF(COUNT(C165,D165)&lt;2,"",ROUND(C165*(1+D165/30),1))</f>
        <v/>
      </c>
      <c r="M165" s="14">
        <f>IF(COUNT(E165,F165)&lt;2,"",ROUND(E165*(1+F165/30),1))</f>
        <v/>
      </c>
      <c r="N165" s="14">
        <f>IF(COUNT(C165:F165)=0,"",IF(COUNT(C165,D165)=2,C165*D165,0)+IF(COUNT(E165,F165)=2,E165*F165,0))</f>
        <v/>
      </c>
      <c r="O165" s="14">
        <f>IF($A165="","",IF(COUNTIFS('Sessions'!$P$3:$P$202,P165)=0,"⚠ no Finger curls session row","ok"))</f>
        <v/>
      </c>
      <c r="P165" s="15">
        <f>IF($A165="","",$A165*10+2)</f>
        <v/>
      </c>
    </row>
    <row r="166">
      <c r="A166" s="11" t="n"/>
      <c r="J166" s="13" t="n"/>
      <c r="K166" s="15">
        <f>IF($A166="","",IF(B166&lt;&gt;"",B166,COUNTIFS($P$3:P166,P166)))</f>
        <v/>
      </c>
      <c r="L166" s="14">
        <f>IF(COUNT(C166,D166)&lt;2,"",ROUND(C166*(1+D166/30),1))</f>
        <v/>
      </c>
      <c r="M166" s="14">
        <f>IF(COUNT(E166,F166)&lt;2,"",ROUND(E166*(1+F166/30),1))</f>
        <v/>
      </c>
      <c r="N166" s="14">
        <f>IF(COUNT(C166:F166)=0,"",IF(COUNT(C166,D166)=2,C166*D166,0)+IF(COUNT(E166,F166)=2,E166*F166,0))</f>
        <v/>
      </c>
      <c r="O166" s="14">
        <f>IF($A166="","",IF(COUNTIFS('Sessions'!$P$3:$P$202,P166)=0,"⚠ no Finger curls session row","ok"))</f>
        <v/>
      </c>
      <c r="P166" s="15">
        <f>IF($A166="","",$A166*10+2)</f>
        <v/>
      </c>
    </row>
    <row r="167">
      <c r="A167" s="11" t="n"/>
      <c r="J167" s="13" t="n"/>
      <c r="K167" s="15">
        <f>IF($A167="","",IF(B167&lt;&gt;"",B167,COUNTIFS($P$3:P167,P167)))</f>
        <v/>
      </c>
      <c r="L167" s="14">
        <f>IF(COUNT(C167,D167)&lt;2,"",ROUND(C167*(1+D167/30),1))</f>
        <v/>
      </c>
      <c r="M167" s="14">
        <f>IF(COUNT(E167,F167)&lt;2,"",ROUND(E167*(1+F167/30),1))</f>
        <v/>
      </c>
      <c r="N167" s="14">
        <f>IF(COUNT(C167:F167)=0,"",IF(COUNT(C167,D167)=2,C167*D167,0)+IF(COUNT(E167,F167)=2,E167*F167,0))</f>
        <v/>
      </c>
      <c r="O167" s="14">
        <f>IF($A167="","",IF(COUNTIFS('Sessions'!$P$3:$P$202,P167)=0,"⚠ no Finger curls session row","ok"))</f>
        <v/>
      </c>
      <c r="P167" s="15">
        <f>IF($A167="","",$A167*10+2)</f>
        <v/>
      </c>
    </row>
    <row r="168">
      <c r="A168" s="11" t="n"/>
      <c r="J168" s="13" t="n"/>
      <c r="K168" s="15">
        <f>IF($A168="","",IF(B168&lt;&gt;"",B168,COUNTIFS($P$3:P168,P168)))</f>
        <v/>
      </c>
      <c r="L168" s="14">
        <f>IF(COUNT(C168,D168)&lt;2,"",ROUND(C168*(1+D168/30),1))</f>
        <v/>
      </c>
      <c r="M168" s="14">
        <f>IF(COUNT(E168,F168)&lt;2,"",ROUND(E168*(1+F168/30),1))</f>
        <v/>
      </c>
      <c r="N168" s="14">
        <f>IF(COUNT(C168:F168)=0,"",IF(COUNT(C168,D168)=2,C168*D168,0)+IF(COUNT(E168,F168)=2,E168*F168,0))</f>
        <v/>
      </c>
      <c r="O168" s="14">
        <f>IF($A168="","",IF(COUNTIFS('Sessions'!$P$3:$P$202,P168)=0,"⚠ no Finger curls session row","ok"))</f>
        <v/>
      </c>
      <c r="P168" s="15">
        <f>IF($A168="","",$A168*10+2)</f>
        <v/>
      </c>
    </row>
    <row r="169">
      <c r="A169" s="11" t="n"/>
      <c r="J169" s="13" t="n"/>
      <c r="K169" s="15">
        <f>IF($A169="","",IF(B169&lt;&gt;"",B169,COUNTIFS($P$3:P169,P169)))</f>
        <v/>
      </c>
      <c r="L169" s="14">
        <f>IF(COUNT(C169,D169)&lt;2,"",ROUND(C169*(1+D169/30),1))</f>
        <v/>
      </c>
      <c r="M169" s="14">
        <f>IF(COUNT(E169,F169)&lt;2,"",ROUND(E169*(1+F169/30),1))</f>
        <v/>
      </c>
      <c r="N169" s="14">
        <f>IF(COUNT(C169:F169)=0,"",IF(COUNT(C169,D169)=2,C169*D169,0)+IF(COUNT(E169,F169)=2,E169*F169,0))</f>
        <v/>
      </c>
      <c r="O169" s="14">
        <f>IF($A169="","",IF(COUNTIFS('Sessions'!$P$3:$P$202,P169)=0,"⚠ no Finger curls session row","ok"))</f>
        <v/>
      </c>
      <c r="P169" s="15">
        <f>IF($A169="","",$A169*10+2)</f>
        <v/>
      </c>
    </row>
    <row r="170">
      <c r="A170" s="11" t="n"/>
      <c r="J170" s="13" t="n"/>
      <c r="K170" s="15">
        <f>IF($A170="","",IF(B170&lt;&gt;"",B170,COUNTIFS($P$3:P170,P170)))</f>
        <v/>
      </c>
      <c r="L170" s="14">
        <f>IF(COUNT(C170,D170)&lt;2,"",ROUND(C170*(1+D170/30),1))</f>
        <v/>
      </c>
      <c r="M170" s="14">
        <f>IF(COUNT(E170,F170)&lt;2,"",ROUND(E170*(1+F170/30),1))</f>
        <v/>
      </c>
      <c r="N170" s="14">
        <f>IF(COUNT(C170:F170)=0,"",IF(COUNT(C170,D170)=2,C170*D170,0)+IF(COUNT(E170,F170)=2,E170*F170,0))</f>
        <v/>
      </c>
      <c r="O170" s="14">
        <f>IF($A170="","",IF(COUNTIFS('Sessions'!$P$3:$P$202,P170)=0,"⚠ no Finger curls session row","ok"))</f>
        <v/>
      </c>
      <c r="P170" s="15">
        <f>IF($A170="","",$A170*10+2)</f>
        <v/>
      </c>
    </row>
    <row r="171">
      <c r="A171" s="11" t="n"/>
      <c r="J171" s="13" t="n"/>
      <c r="K171" s="15">
        <f>IF($A171="","",IF(B171&lt;&gt;"",B171,COUNTIFS($P$3:P171,P171)))</f>
        <v/>
      </c>
      <c r="L171" s="14">
        <f>IF(COUNT(C171,D171)&lt;2,"",ROUND(C171*(1+D171/30),1))</f>
        <v/>
      </c>
      <c r="M171" s="14">
        <f>IF(COUNT(E171,F171)&lt;2,"",ROUND(E171*(1+F171/30),1))</f>
        <v/>
      </c>
      <c r="N171" s="14">
        <f>IF(COUNT(C171:F171)=0,"",IF(COUNT(C171,D171)=2,C171*D171,0)+IF(COUNT(E171,F171)=2,E171*F171,0))</f>
        <v/>
      </c>
      <c r="O171" s="14">
        <f>IF($A171="","",IF(COUNTIFS('Sessions'!$P$3:$P$202,P171)=0,"⚠ no Finger curls session row","ok"))</f>
        <v/>
      </c>
      <c r="P171" s="15">
        <f>IF($A171="","",$A171*10+2)</f>
        <v/>
      </c>
    </row>
    <row r="172">
      <c r="A172" s="11" t="n"/>
      <c r="J172" s="13" t="n"/>
      <c r="K172" s="15">
        <f>IF($A172="","",IF(B172&lt;&gt;"",B172,COUNTIFS($P$3:P172,P172)))</f>
        <v/>
      </c>
      <c r="L172" s="14">
        <f>IF(COUNT(C172,D172)&lt;2,"",ROUND(C172*(1+D172/30),1))</f>
        <v/>
      </c>
      <c r="M172" s="14">
        <f>IF(COUNT(E172,F172)&lt;2,"",ROUND(E172*(1+F172/30),1))</f>
        <v/>
      </c>
      <c r="N172" s="14">
        <f>IF(COUNT(C172:F172)=0,"",IF(COUNT(C172,D172)=2,C172*D172,0)+IF(COUNT(E172,F172)=2,E172*F172,0))</f>
        <v/>
      </c>
      <c r="O172" s="14">
        <f>IF($A172="","",IF(COUNTIFS('Sessions'!$P$3:$P$202,P172)=0,"⚠ no Finger curls session row","ok"))</f>
        <v/>
      </c>
      <c r="P172" s="15">
        <f>IF($A172="","",$A172*10+2)</f>
        <v/>
      </c>
    </row>
    <row r="173">
      <c r="A173" s="11" t="n"/>
      <c r="J173" s="13" t="n"/>
      <c r="K173" s="15">
        <f>IF($A173="","",IF(B173&lt;&gt;"",B173,COUNTIFS($P$3:P173,P173)))</f>
        <v/>
      </c>
      <c r="L173" s="14">
        <f>IF(COUNT(C173,D173)&lt;2,"",ROUND(C173*(1+D173/30),1))</f>
        <v/>
      </c>
      <c r="M173" s="14">
        <f>IF(COUNT(E173,F173)&lt;2,"",ROUND(E173*(1+F173/30),1))</f>
        <v/>
      </c>
      <c r="N173" s="14">
        <f>IF(COUNT(C173:F173)=0,"",IF(COUNT(C173,D173)=2,C173*D173,0)+IF(COUNT(E173,F173)=2,E173*F173,0))</f>
        <v/>
      </c>
      <c r="O173" s="14">
        <f>IF($A173="","",IF(COUNTIFS('Sessions'!$P$3:$P$202,P173)=0,"⚠ no Finger curls session row","ok"))</f>
        <v/>
      </c>
      <c r="P173" s="15">
        <f>IF($A173="","",$A173*10+2)</f>
        <v/>
      </c>
    </row>
    <row r="174">
      <c r="A174" s="11" t="n"/>
      <c r="J174" s="13" t="n"/>
      <c r="K174" s="15">
        <f>IF($A174="","",IF(B174&lt;&gt;"",B174,COUNTIFS($P$3:P174,P174)))</f>
        <v/>
      </c>
      <c r="L174" s="14">
        <f>IF(COUNT(C174,D174)&lt;2,"",ROUND(C174*(1+D174/30),1))</f>
        <v/>
      </c>
      <c r="M174" s="14">
        <f>IF(COUNT(E174,F174)&lt;2,"",ROUND(E174*(1+F174/30),1))</f>
        <v/>
      </c>
      <c r="N174" s="14">
        <f>IF(COUNT(C174:F174)=0,"",IF(COUNT(C174,D174)=2,C174*D174,0)+IF(COUNT(E174,F174)=2,E174*F174,0))</f>
        <v/>
      </c>
      <c r="O174" s="14">
        <f>IF($A174="","",IF(COUNTIFS('Sessions'!$P$3:$P$202,P174)=0,"⚠ no Finger curls session row","ok"))</f>
        <v/>
      </c>
      <c r="P174" s="15">
        <f>IF($A174="","",$A174*10+2)</f>
        <v/>
      </c>
    </row>
    <row r="175">
      <c r="A175" s="11" t="n"/>
      <c r="J175" s="13" t="n"/>
      <c r="K175" s="15">
        <f>IF($A175="","",IF(B175&lt;&gt;"",B175,COUNTIFS($P$3:P175,P175)))</f>
        <v/>
      </c>
      <c r="L175" s="14">
        <f>IF(COUNT(C175,D175)&lt;2,"",ROUND(C175*(1+D175/30),1))</f>
        <v/>
      </c>
      <c r="M175" s="14">
        <f>IF(COUNT(E175,F175)&lt;2,"",ROUND(E175*(1+F175/30),1))</f>
        <v/>
      </c>
      <c r="N175" s="14">
        <f>IF(COUNT(C175:F175)=0,"",IF(COUNT(C175,D175)=2,C175*D175,0)+IF(COUNT(E175,F175)=2,E175*F175,0))</f>
        <v/>
      </c>
      <c r="O175" s="14">
        <f>IF($A175="","",IF(COUNTIFS('Sessions'!$P$3:$P$202,P175)=0,"⚠ no Finger curls session row","ok"))</f>
        <v/>
      </c>
      <c r="P175" s="15">
        <f>IF($A175="","",$A175*10+2)</f>
        <v/>
      </c>
    </row>
    <row r="176">
      <c r="A176" s="11" t="n"/>
      <c r="J176" s="13" t="n"/>
      <c r="K176" s="15">
        <f>IF($A176="","",IF(B176&lt;&gt;"",B176,COUNTIFS($P$3:P176,P176)))</f>
        <v/>
      </c>
      <c r="L176" s="14">
        <f>IF(COUNT(C176,D176)&lt;2,"",ROUND(C176*(1+D176/30),1))</f>
        <v/>
      </c>
      <c r="M176" s="14">
        <f>IF(COUNT(E176,F176)&lt;2,"",ROUND(E176*(1+F176/30),1))</f>
        <v/>
      </c>
      <c r="N176" s="14">
        <f>IF(COUNT(C176:F176)=0,"",IF(COUNT(C176,D176)=2,C176*D176,0)+IF(COUNT(E176,F176)=2,E176*F176,0))</f>
        <v/>
      </c>
      <c r="O176" s="14">
        <f>IF($A176="","",IF(COUNTIFS('Sessions'!$P$3:$P$202,P176)=0,"⚠ no Finger curls session row","ok"))</f>
        <v/>
      </c>
      <c r="P176" s="15">
        <f>IF($A176="","",$A176*10+2)</f>
        <v/>
      </c>
    </row>
    <row r="177">
      <c r="A177" s="11" t="n"/>
      <c r="J177" s="13" t="n"/>
      <c r="K177" s="15">
        <f>IF($A177="","",IF(B177&lt;&gt;"",B177,COUNTIFS($P$3:P177,P177)))</f>
        <v/>
      </c>
      <c r="L177" s="14">
        <f>IF(COUNT(C177,D177)&lt;2,"",ROUND(C177*(1+D177/30),1))</f>
        <v/>
      </c>
      <c r="M177" s="14">
        <f>IF(COUNT(E177,F177)&lt;2,"",ROUND(E177*(1+F177/30),1))</f>
        <v/>
      </c>
      <c r="N177" s="14">
        <f>IF(COUNT(C177:F177)=0,"",IF(COUNT(C177,D177)=2,C177*D177,0)+IF(COUNT(E177,F177)=2,E177*F177,0))</f>
        <v/>
      </c>
      <c r="O177" s="14">
        <f>IF($A177="","",IF(COUNTIFS('Sessions'!$P$3:$P$202,P177)=0,"⚠ no Finger curls session row","ok"))</f>
        <v/>
      </c>
      <c r="P177" s="15">
        <f>IF($A177="","",$A177*10+2)</f>
        <v/>
      </c>
    </row>
    <row r="178">
      <c r="A178" s="11" t="n"/>
      <c r="J178" s="13" t="n"/>
      <c r="K178" s="15">
        <f>IF($A178="","",IF(B178&lt;&gt;"",B178,COUNTIFS($P$3:P178,P178)))</f>
        <v/>
      </c>
      <c r="L178" s="14">
        <f>IF(COUNT(C178,D178)&lt;2,"",ROUND(C178*(1+D178/30),1))</f>
        <v/>
      </c>
      <c r="M178" s="14">
        <f>IF(COUNT(E178,F178)&lt;2,"",ROUND(E178*(1+F178/30),1))</f>
        <v/>
      </c>
      <c r="N178" s="14">
        <f>IF(COUNT(C178:F178)=0,"",IF(COUNT(C178,D178)=2,C178*D178,0)+IF(COUNT(E178,F178)=2,E178*F178,0))</f>
        <v/>
      </c>
      <c r="O178" s="14">
        <f>IF($A178="","",IF(COUNTIFS('Sessions'!$P$3:$P$202,P178)=0,"⚠ no Finger curls session row","ok"))</f>
        <v/>
      </c>
      <c r="P178" s="15">
        <f>IF($A178="","",$A178*10+2)</f>
        <v/>
      </c>
    </row>
    <row r="179">
      <c r="A179" s="11" t="n"/>
      <c r="J179" s="13" t="n"/>
      <c r="K179" s="15">
        <f>IF($A179="","",IF(B179&lt;&gt;"",B179,COUNTIFS($P$3:P179,P179)))</f>
        <v/>
      </c>
      <c r="L179" s="14">
        <f>IF(COUNT(C179,D179)&lt;2,"",ROUND(C179*(1+D179/30),1))</f>
        <v/>
      </c>
      <c r="M179" s="14">
        <f>IF(COUNT(E179,F179)&lt;2,"",ROUND(E179*(1+F179/30),1))</f>
        <v/>
      </c>
      <c r="N179" s="14">
        <f>IF(COUNT(C179:F179)=0,"",IF(COUNT(C179,D179)=2,C179*D179,0)+IF(COUNT(E179,F179)=2,E179*F179,0))</f>
        <v/>
      </c>
      <c r="O179" s="14">
        <f>IF($A179="","",IF(COUNTIFS('Sessions'!$P$3:$P$202,P179)=0,"⚠ no Finger curls session row","ok"))</f>
        <v/>
      </c>
      <c r="P179" s="15">
        <f>IF($A179="","",$A179*10+2)</f>
        <v/>
      </c>
    </row>
    <row r="180">
      <c r="A180" s="11" t="n"/>
      <c r="J180" s="13" t="n"/>
      <c r="K180" s="15">
        <f>IF($A180="","",IF(B180&lt;&gt;"",B180,COUNTIFS($P$3:P180,P180)))</f>
        <v/>
      </c>
      <c r="L180" s="14">
        <f>IF(COUNT(C180,D180)&lt;2,"",ROUND(C180*(1+D180/30),1))</f>
        <v/>
      </c>
      <c r="M180" s="14">
        <f>IF(COUNT(E180,F180)&lt;2,"",ROUND(E180*(1+F180/30),1))</f>
        <v/>
      </c>
      <c r="N180" s="14">
        <f>IF(COUNT(C180:F180)=0,"",IF(COUNT(C180,D180)=2,C180*D180,0)+IF(COUNT(E180,F180)=2,E180*F180,0))</f>
        <v/>
      </c>
      <c r="O180" s="14">
        <f>IF($A180="","",IF(COUNTIFS('Sessions'!$P$3:$P$202,P180)=0,"⚠ no Finger curls session row","ok"))</f>
        <v/>
      </c>
      <c r="P180" s="15">
        <f>IF($A180="","",$A180*10+2)</f>
        <v/>
      </c>
    </row>
    <row r="181">
      <c r="A181" s="11" t="n"/>
      <c r="J181" s="13" t="n"/>
      <c r="K181" s="15">
        <f>IF($A181="","",IF(B181&lt;&gt;"",B181,COUNTIFS($P$3:P181,P181)))</f>
        <v/>
      </c>
      <c r="L181" s="14">
        <f>IF(COUNT(C181,D181)&lt;2,"",ROUND(C181*(1+D181/30),1))</f>
        <v/>
      </c>
      <c r="M181" s="14">
        <f>IF(COUNT(E181,F181)&lt;2,"",ROUND(E181*(1+F181/30),1))</f>
        <v/>
      </c>
      <c r="N181" s="14">
        <f>IF(COUNT(C181:F181)=0,"",IF(COUNT(C181,D181)=2,C181*D181,0)+IF(COUNT(E181,F181)=2,E181*F181,0))</f>
        <v/>
      </c>
      <c r="O181" s="14">
        <f>IF($A181="","",IF(COUNTIFS('Sessions'!$P$3:$P$202,P181)=0,"⚠ no Finger curls session row","ok"))</f>
        <v/>
      </c>
      <c r="P181" s="15">
        <f>IF($A181="","",$A181*10+2)</f>
        <v/>
      </c>
    </row>
    <row r="182">
      <c r="A182" s="11" t="n"/>
      <c r="J182" s="13" t="n"/>
      <c r="K182" s="15">
        <f>IF($A182="","",IF(B182&lt;&gt;"",B182,COUNTIFS($P$3:P182,P182)))</f>
        <v/>
      </c>
      <c r="L182" s="14">
        <f>IF(COUNT(C182,D182)&lt;2,"",ROUND(C182*(1+D182/30),1))</f>
        <v/>
      </c>
      <c r="M182" s="14">
        <f>IF(COUNT(E182,F182)&lt;2,"",ROUND(E182*(1+F182/30),1))</f>
        <v/>
      </c>
      <c r="N182" s="14">
        <f>IF(COUNT(C182:F182)=0,"",IF(COUNT(C182,D182)=2,C182*D182,0)+IF(COUNT(E182,F182)=2,E182*F182,0))</f>
        <v/>
      </c>
      <c r="O182" s="14">
        <f>IF($A182="","",IF(COUNTIFS('Sessions'!$P$3:$P$202,P182)=0,"⚠ no Finger curls session row","ok"))</f>
        <v/>
      </c>
      <c r="P182" s="15">
        <f>IF($A182="","",$A182*10+2)</f>
        <v/>
      </c>
    </row>
    <row r="183">
      <c r="A183" s="11" t="n"/>
      <c r="J183" s="13" t="n"/>
      <c r="K183" s="15">
        <f>IF($A183="","",IF(B183&lt;&gt;"",B183,COUNTIFS($P$3:P183,P183)))</f>
        <v/>
      </c>
      <c r="L183" s="14">
        <f>IF(COUNT(C183,D183)&lt;2,"",ROUND(C183*(1+D183/30),1))</f>
        <v/>
      </c>
      <c r="M183" s="14">
        <f>IF(COUNT(E183,F183)&lt;2,"",ROUND(E183*(1+F183/30),1))</f>
        <v/>
      </c>
      <c r="N183" s="14">
        <f>IF(COUNT(C183:F183)=0,"",IF(COUNT(C183,D183)=2,C183*D183,0)+IF(COUNT(E183,F183)=2,E183*F183,0))</f>
        <v/>
      </c>
      <c r="O183" s="14">
        <f>IF($A183="","",IF(COUNTIFS('Sessions'!$P$3:$P$202,P183)=0,"⚠ no Finger curls session row","ok"))</f>
        <v/>
      </c>
      <c r="P183" s="15">
        <f>IF($A183="","",$A183*10+2)</f>
        <v/>
      </c>
    </row>
    <row r="184">
      <c r="A184" s="11" t="n"/>
      <c r="J184" s="13" t="n"/>
      <c r="K184" s="15">
        <f>IF($A184="","",IF(B184&lt;&gt;"",B184,COUNTIFS($P$3:P184,P184)))</f>
        <v/>
      </c>
      <c r="L184" s="14">
        <f>IF(COUNT(C184,D184)&lt;2,"",ROUND(C184*(1+D184/30),1))</f>
        <v/>
      </c>
      <c r="M184" s="14">
        <f>IF(COUNT(E184,F184)&lt;2,"",ROUND(E184*(1+F184/30),1))</f>
        <v/>
      </c>
      <c r="N184" s="14">
        <f>IF(COUNT(C184:F184)=0,"",IF(COUNT(C184,D184)=2,C184*D184,0)+IF(COUNT(E184,F184)=2,E184*F184,0))</f>
        <v/>
      </c>
      <c r="O184" s="14">
        <f>IF($A184="","",IF(COUNTIFS('Sessions'!$P$3:$P$202,P184)=0,"⚠ no Finger curls session row","ok"))</f>
        <v/>
      </c>
      <c r="P184" s="15">
        <f>IF($A184="","",$A184*10+2)</f>
        <v/>
      </c>
    </row>
    <row r="185">
      <c r="A185" s="11" t="n"/>
      <c r="J185" s="13" t="n"/>
      <c r="K185" s="15">
        <f>IF($A185="","",IF(B185&lt;&gt;"",B185,COUNTIFS($P$3:P185,P185)))</f>
        <v/>
      </c>
      <c r="L185" s="14">
        <f>IF(COUNT(C185,D185)&lt;2,"",ROUND(C185*(1+D185/30),1))</f>
        <v/>
      </c>
      <c r="M185" s="14">
        <f>IF(COUNT(E185,F185)&lt;2,"",ROUND(E185*(1+F185/30),1))</f>
        <v/>
      </c>
      <c r="N185" s="14">
        <f>IF(COUNT(C185:F185)=0,"",IF(COUNT(C185,D185)=2,C185*D185,0)+IF(COUNT(E185,F185)=2,E185*F185,0))</f>
        <v/>
      </c>
      <c r="O185" s="14">
        <f>IF($A185="","",IF(COUNTIFS('Sessions'!$P$3:$P$202,P185)=0,"⚠ no Finger curls session row","ok"))</f>
        <v/>
      </c>
      <c r="P185" s="15">
        <f>IF($A185="","",$A185*10+2)</f>
        <v/>
      </c>
    </row>
    <row r="186">
      <c r="A186" s="11" t="n"/>
      <c r="J186" s="13" t="n"/>
      <c r="K186" s="15">
        <f>IF($A186="","",IF(B186&lt;&gt;"",B186,COUNTIFS($P$3:P186,P186)))</f>
        <v/>
      </c>
      <c r="L186" s="14">
        <f>IF(COUNT(C186,D186)&lt;2,"",ROUND(C186*(1+D186/30),1))</f>
        <v/>
      </c>
      <c r="M186" s="14">
        <f>IF(COUNT(E186,F186)&lt;2,"",ROUND(E186*(1+F186/30),1))</f>
        <v/>
      </c>
      <c r="N186" s="14">
        <f>IF(COUNT(C186:F186)=0,"",IF(COUNT(C186,D186)=2,C186*D186,0)+IF(COUNT(E186,F186)=2,E186*F186,0))</f>
        <v/>
      </c>
      <c r="O186" s="14">
        <f>IF($A186="","",IF(COUNTIFS('Sessions'!$P$3:$P$202,P186)=0,"⚠ no Finger curls session row","ok"))</f>
        <v/>
      </c>
      <c r="P186" s="15">
        <f>IF($A186="","",$A186*10+2)</f>
        <v/>
      </c>
    </row>
    <row r="187">
      <c r="A187" s="11" t="n"/>
      <c r="J187" s="13" t="n"/>
      <c r="K187" s="15">
        <f>IF($A187="","",IF(B187&lt;&gt;"",B187,COUNTIFS($P$3:P187,P187)))</f>
        <v/>
      </c>
      <c r="L187" s="14">
        <f>IF(COUNT(C187,D187)&lt;2,"",ROUND(C187*(1+D187/30),1))</f>
        <v/>
      </c>
      <c r="M187" s="14">
        <f>IF(COUNT(E187,F187)&lt;2,"",ROUND(E187*(1+F187/30),1))</f>
        <v/>
      </c>
      <c r="N187" s="14">
        <f>IF(COUNT(C187:F187)=0,"",IF(COUNT(C187,D187)=2,C187*D187,0)+IF(COUNT(E187,F187)=2,E187*F187,0))</f>
        <v/>
      </c>
      <c r="O187" s="14">
        <f>IF($A187="","",IF(COUNTIFS('Sessions'!$P$3:$P$202,P187)=0,"⚠ no Finger curls session row","ok"))</f>
        <v/>
      </c>
      <c r="P187" s="15">
        <f>IF($A187="","",$A187*10+2)</f>
        <v/>
      </c>
    </row>
    <row r="188">
      <c r="A188" s="11" t="n"/>
      <c r="J188" s="13" t="n"/>
      <c r="K188" s="15">
        <f>IF($A188="","",IF(B188&lt;&gt;"",B188,COUNTIFS($P$3:P188,P188)))</f>
        <v/>
      </c>
      <c r="L188" s="14">
        <f>IF(COUNT(C188,D188)&lt;2,"",ROUND(C188*(1+D188/30),1))</f>
        <v/>
      </c>
      <c r="M188" s="14">
        <f>IF(COUNT(E188,F188)&lt;2,"",ROUND(E188*(1+F188/30),1))</f>
        <v/>
      </c>
      <c r="N188" s="14">
        <f>IF(COUNT(C188:F188)=0,"",IF(COUNT(C188,D188)=2,C188*D188,0)+IF(COUNT(E188,F188)=2,E188*F188,0))</f>
        <v/>
      </c>
      <c r="O188" s="14">
        <f>IF($A188="","",IF(COUNTIFS('Sessions'!$P$3:$P$202,P188)=0,"⚠ no Finger curls session row","ok"))</f>
        <v/>
      </c>
      <c r="P188" s="15">
        <f>IF($A188="","",$A188*10+2)</f>
        <v/>
      </c>
    </row>
    <row r="189">
      <c r="A189" s="11" t="n"/>
      <c r="J189" s="13" t="n"/>
      <c r="K189" s="15">
        <f>IF($A189="","",IF(B189&lt;&gt;"",B189,COUNTIFS($P$3:P189,P189)))</f>
        <v/>
      </c>
      <c r="L189" s="14">
        <f>IF(COUNT(C189,D189)&lt;2,"",ROUND(C189*(1+D189/30),1))</f>
        <v/>
      </c>
      <c r="M189" s="14">
        <f>IF(COUNT(E189,F189)&lt;2,"",ROUND(E189*(1+F189/30),1))</f>
        <v/>
      </c>
      <c r="N189" s="14">
        <f>IF(COUNT(C189:F189)=0,"",IF(COUNT(C189,D189)=2,C189*D189,0)+IF(COUNT(E189,F189)=2,E189*F189,0))</f>
        <v/>
      </c>
      <c r="O189" s="14">
        <f>IF($A189="","",IF(COUNTIFS('Sessions'!$P$3:$P$202,P189)=0,"⚠ no Finger curls session row","ok"))</f>
        <v/>
      </c>
      <c r="P189" s="15">
        <f>IF($A189="","",$A189*10+2)</f>
        <v/>
      </c>
    </row>
    <row r="190">
      <c r="A190" s="11" t="n"/>
      <c r="J190" s="13" t="n"/>
      <c r="K190" s="15">
        <f>IF($A190="","",IF(B190&lt;&gt;"",B190,COUNTIFS($P$3:P190,P190)))</f>
        <v/>
      </c>
      <c r="L190" s="14">
        <f>IF(COUNT(C190,D190)&lt;2,"",ROUND(C190*(1+D190/30),1))</f>
        <v/>
      </c>
      <c r="M190" s="14">
        <f>IF(COUNT(E190,F190)&lt;2,"",ROUND(E190*(1+F190/30),1))</f>
        <v/>
      </c>
      <c r="N190" s="14">
        <f>IF(COUNT(C190:F190)=0,"",IF(COUNT(C190,D190)=2,C190*D190,0)+IF(COUNT(E190,F190)=2,E190*F190,0))</f>
        <v/>
      </c>
      <c r="O190" s="14">
        <f>IF($A190="","",IF(COUNTIFS('Sessions'!$P$3:$P$202,P190)=0,"⚠ no Finger curls session row","ok"))</f>
        <v/>
      </c>
      <c r="P190" s="15">
        <f>IF($A190="","",$A190*10+2)</f>
        <v/>
      </c>
    </row>
    <row r="191">
      <c r="A191" s="11" t="n"/>
      <c r="J191" s="13" t="n"/>
      <c r="K191" s="15">
        <f>IF($A191="","",IF(B191&lt;&gt;"",B191,COUNTIFS($P$3:P191,P191)))</f>
        <v/>
      </c>
      <c r="L191" s="14">
        <f>IF(COUNT(C191,D191)&lt;2,"",ROUND(C191*(1+D191/30),1))</f>
        <v/>
      </c>
      <c r="M191" s="14">
        <f>IF(COUNT(E191,F191)&lt;2,"",ROUND(E191*(1+F191/30),1))</f>
        <v/>
      </c>
      <c r="N191" s="14">
        <f>IF(COUNT(C191:F191)=0,"",IF(COUNT(C191,D191)=2,C191*D191,0)+IF(COUNT(E191,F191)=2,E191*F191,0))</f>
        <v/>
      </c>
      <c r="O191" s="14">
        <f>IF($A191="","",IF(COUNTIFS('Sessions'!$P$3:$P$202,P191)=0,"⚠ no Finger curls session row","ok"))</f>
        <v/>
      </c>
      <c r="P191" s="15">
        <f>IF($A191="","",$A191*10+2)</f>
        <v/>
      </c>
    </row>
    <row r="192">
      <c r="A192" s="11" t="n"/>
      <c r="J192" s="13" t="n"/>
      <c r="K192" s="15">
        <f>IF($A192="","",IF(B192&lt;&gt;"",B192,COUNTIFS($P$3:P192,P192)))</f>
        <v/>
      </c>
      <c r="L192" s="14">
        <f>IF(COUNT(C192,D192)&lt;2,"",ROUND(C192*(1+D192/30),1))</f>
        <v/>
      </c>
      <c r="M192" s="14">
        <f>IF(COUNT(E192,F192)&lt;2,"",ROUND(E192*(1+F192/30),1))</f>
        <v/>
      </c>
      <c r="N192" s="14">
        <f>IF(COUNT(C192:F192)=0,"",IF(COUNT(C192,D192)=2,C192*D192,0)+IF(COUNT(E192,F192)=2,E192*F192,0))</f>
        <v/>
      </c>
      <c r="O192" s="14">
        <f>IF($A192="","",IF(COUNTIFS('Sessions'!$P$3:$P$202,P192)=0,"⚠ no Finger curls session row","ok"))</f>
        <v/>
      </c>
      <c r="P192" s="15">
        <f>IF($A192="","",$A192*10+2)</f>
        <v/>
      </c>
    </row>
    <row r="193">
      <c r="A193" s="11" t="n"/>
      <c r="J193" s="13" t="n"/>
      <c r="K193" s="15">
        <f>IF($A193="","",IF(B193&lt;&gt;"",B193,COUNTIFS($P$3:P193,P193)))</f>
        <v/>
      </c>
      <c r="L193" s="14">
        <f>IF(COUNT(C193,D193)&lt;2,"",ROUND(C193*(1+D193/30),1))</f>
        <v/>
      </c>
      <c r="M193" s="14">
        <f>IF(COUNT(E193,F193)&lt;2,"",ROUND(E193*(1+F193/30),1))</f>
        <v/>
      </c>
      <c r="N193" s="14">
        <f>IF(COUNT(C193:F193)=0,"",IF(COUNT(C193,D193)=2,C193*D193,0)+IF(COUNT(E193,F193)=2,E193*F193,0))</f>
        <v/>
      </c>
      <c r="O193" s="14">
        <f>IF($A193="","",IF(COUNTIFS('Sessions'!$P$3:$P$202,P193)=0,"⚠ no Finger curls session row","ok"))</f>
        <v/>
      </c>
      <c r="P193" s="15">
        <f>IF($A193="","",$A193*10+2)</f>
        <v/>
      </c>
    </row>
    <row r="194">
      <c r="A194" s="11" t="n"/>
      <c r="J194" s="13" t="n"/>
      <c r="K194" s="15">
        <f>IF($A194="","",IF(B194&lt;&gt;"",B194,COUNTIFS($P$3:P194,P194)))</f>
        <v/>
      </c>
      <c r="L194" s="14">
        <f>IF(COUNT(C194,D194)&lt;2,"",ROUND(C194*(1+D194/30),1))</f>
        <v/>
      </c>
      <c r="M194" s="14">
        <f>IF(COUNT(E194,F194)&lt;2,"",ROUND(E194*(1+F194/30),1))</f>
        <v/>
      </c>
      <c r="N194" s="14">
        <f>IF(COUNT(C194:F194)=0,"",IF(COUNT(C194,D194)=2,C194*D194,0)+IF(COUNT(E194,F194)=2,E194*F194,0))</f>
        <v/>
      </c>
      <c r="O194" s="14">
        <f>IF($A194="","",IF(COUNTIFS('Sessions'!$P$3:$P$202,P194)=0,"⚠ no Finger curls session row","ok"))</f>
        <v/>
      </c>
      <c r="P194" s="15">
        <f>IF($A194="","",$A194*10+2)</f>
        <v/>
      </c>
    </row>
    <row r="195">
      <c r="A195" s="11" t="n"/>
      <c r="J195" s="13" t="n"/>
      <c r="K195" s="15">
        <f>IF($A195="","",IF(B195&lt;&gt;"",B195,COUNTIFS($P$3:P195,P195)))</f>
        <v/>
      </c>
      <c r="L195" s="14">
        <f>IF(COUNT(C195,D195)&lt;2,"",ROUND(C195*(1+D195/30),1))</f>
        <v/>
      </c>
      <c r="M195" s="14">
        <f>IF(COUNT(E195,F195)&lt;2,"",ROUND(E195*(1+F195/30),1))</f>
        <v/>
      </c>
      <c r="N195" s="14">
        <f>IF(COUNT(C195:F195)=0,"",IF(COUNT(C195,D195)=2,C195*D195,0)+IF(COUNT(E195,F195)=2,E195*F195,0))</f>
        <v/>
      </c>
      <c r="O195" s="14">
        <f>IF($A195="","",IF(COUNTIFS('Sessions'!$P$3:$P$202,P195)=0,"⚠ no Finger curls session row","ok"))</f>
        <v/>
      </c>
      <c r="P195" s="15">
        <f>IF($A195="","",$A195*10+2)</f>
        <v/>
      </c>
    </row>
    <row r="196">
      <c r="A196" s="11" t="n"/>
      <c r="J196" s="13" t="n"/>
      <c r="K196" s="15">
        <f>IF($A196="","",IF(B196&lt;&gt;"",B196,COUNTIFS($P$3:P196,P196)))</f>
        <v/>
      </c>
      <c r="L196" s="14">
        <f>IF(COUNT(C196,D196)&lt;2,"",ROUND(C196*(1+D196/30),1))</f>
        <v/>
      </c>
      <c r="M196" s="14">
        <f>IF(COUNT(E196,F196)&lt;2,"",ROUND(E196*(1+F196/30),1))</f>
        <v/>
      </c>
      <c r="N196" s="14">
        <f>IF(COUNT(C196:F196)=0,"",IF(COUNT(C196,D196)=2,C196*D196,0)+IF(COUNT(E196,F196)=2,E196*F196,0))</f>
        <v/>
      </c>
      <c r="O196" s="14">
        <f>IF($A196="","",IF(COUNTIFS('Sessions'!$P$3:$P$202,P196)=0,"⚠ no Finger curls session row","ok"))</f>
        <v/>
      </c>
      <c r="P196" s="15">
        <f>IF($A196="","",$A196*10+2)</f>
        <v/>
      </c>
    </row>
    <row r="197">
      <c r="A197" s="11" t="n"/>
      <c r="J197" s="13" t="n"/>
      <c r="K197" s="15">
        <f>IF($A197="","",IF(B197&lt;&gt;"",B197,COUNTIFS($P$3:P197,P197)))</f>
        <v/>
      </c>
      <c r="L197" s="14">
        <f>IF(COUNT(C197,D197)&lt;2,"",ROUND(C197*(1+D197/30),1))</f>
        <v/>
      </c>
      <c r="M197" s="14">
        <f>IF(COUNT(E197,F197)&lt;2,"",ROUND(E197*(1+F197/30),1))</f>
        <v/>
      </c>
      <c r="N197" s="14">
        <f>IF(COUNT(C197:F197)=0,"",IF(COUNT(C197,D197)=2,C197*D197,0)+IF(COUNT(E197,F197)=2,E197*F197,0))</f>
        <v/>
      </c>
      <c r="O197" s="14">
        <f>IF($A197="","",IF(COUNTIFS('Sessions'!$P$3:$P$202,P197)=0,"⚠ no Finger curls session row","ok"))</f>
        <v/>
      </c>
      <c r="P197" s="15">
        <f>IF($A197="","",$A197*10+2)</f>
        <v/>
      </c>
    </row>
    <row r="198">
      <c r="A198" s="11" t="n"/>
      <c r="J198" s="13" t="n"/>
      <c r="K198" s="15">
        <f>IF($A198="","",IF(B198&lt;&gt;"",B198,COUNTIFS($P$3:P198,P198)))</f>
        <v/>
      </c>
      <c r="L198" s="14">
        <f>IF(COUNT(C198,D198)&lt;2,"",ROUND(C198*(1+D198/30),1))</f>
        <v/>
      </c>
      <c r="M198" s="14">
        <f>IF(COUNT(E198,F198)&lt;2,"",ROUND(E198*(1+F198/30),1))</f>
        <v/>
      </c>
      <c r="N198" s="14">
        <f>IF(COUNT(C198:F198)=0,"",IF(COUNT(C198,D198)=2,C198*D198,0)+IF(COUNT(E198,F198)=2,E198*F198,0))</f>
        <v/>
      </c>
      <c r="O198" s="14">
        <f>IF($A198="","",IF(COUNTIFS('Sessions'!$P$3:$P$202,P198)=0,"⚠ no Finger curls session row","ok"))</f>
        <v/>
      </c>
      <c r="P198" s="15">
        <f>IF($A198="","",$A198*10+2)</f>
        <v/>
      </c>
    </row>
    <row r="199">
      <c r="A199" s="11" t="n"/>
      <c r="J199" s="13" t="n"/>
      <c r="K199" s="15">
        <f>IF($A199="","",IF(B199&lt;&gt;"",B199,COUNTIFS($P$3:P199,P199)))</f>
        <v/>
      </c>
      <c r="L199" s="14">
        <f>IF(COUNT(C199,D199)&lt;2,"",ROUND(C199*(1+D199/30),1))</f>
        <v/>
      </c>
      <c r="M199" s="14">
        <f>IF(COUNT(E199,F199)&lt;2,"",ROUND(E199*(1+F199/30),1))</f>
        <v/>
      </c>
      <c r="N199" s="14">
        <f>IF(COUNT(C199:F199)=0,"",IF(COUNT(C199,D199)=2,C199*D199,0)+IF(COUNT(E199,F199)=2,E199*F199,0))</f>
        <v/>
      </c>
      <c r="O199" s="14">
        <f>IF($A199="","",IF(COUNTIFS('Sessions'!$P$3:$P$202,P199)=0,"⚠ no Finger curls session row","ok"))</f>
        <v/>
      </c>
      <c r="P199" s="15">
        <f>IF($A199="","",$A199*10+2)</f>
        <v/>
      </c>
    </row>
    <row r="200">
      <c r="A200" s="11" t="n"/>
      <c r="J200" s="13" t="n"/>
      <c r="K200" s="15">
        <f>IF($A200="","",IF(B200&lt;&gt;"",B200,COUNTIFS($P$3:P200,P200)))</f>
        <v/>
      </c>
      <c r="L200" s="14">
        <f>IF(COUNT(C200,D200)&lt;2,"",ROUND(C200*(1+D200/30),1))</f>
        <v/>
      </c>
      <c r="M200" s="14">
        <f>IF(COUNT(E200,F200)&lt;2,"",ROUND(E200*(1+F200/30),1))</f>
        <v/>
      </c>
      <c r="N200" s="14">
        <f>IF(COUNT(C200:F200)=0,"",IF(COUNT(C200,D200)=2,C200*D200,0)+IF(COUNT(E200,F200)=2,E200*F200,0))</f>
        <v/>
      </c>
      <c r="O200" s="14">
        <f>IF($A200="","",IF(COUNTIFS('Sessions'!$P$3:$P$202,P200)=0,"⚠ no Finger curls session row","ok"))</f>
        <v/>
      </c>
      <c r="P200" s="15">
        <f>IF($A200="","",$A200*10+2)</f>
        <v/>
      </c>
    </row>
    <row r="201">
      <c r="A201" s="11" t="n"/>
      <c r="J201" s="13" t="n"/>
      <c r="K201" s="15">
        <f>IF($A201="","",IF(B201&lt;&gt;"",B201,COUNTIFS($P$3:P201,P201)))</f>
        <v/>
      </c>
      <c r="L201" s="14">
        <f>IF(COUNT(C201,D201)&lt;2,"",ROUND(C201*(1+D201/30),1))</f>
        <v/>
      </c>
      <c r="M201" s="14">
        <f>IF(COUNT(E201,F201)&lt;2,"",ROUND(E201*(1+F201/30),1))</f>
        <v/>
      </c>
      <c r="N201" s="14">
        <f>IF(COUNT(C201:F201)=0,"",IF(COUNT(C201,D201)=2,C201*D201,0)+IF(COUNT(E201,F201)=2,E201*F201,0))</f>
        <v/>
      </c>
      <c r="O201" s="14">
        <f>IF($A201="","",IF(COUNTIFS('Sessions'!$P$3:$P$202,P201)=0,"⚠ no Finger curls session row","ok"))</f>
        <v/>
      </c>
      <c r="P201" s="15">
        <f>IF($A201="","",$A201*10+2)</f>
        <v/>
      </c>
    </row>
    <row r="202">
      <c r="A202" s="11" t="n"/>
      <c r="J202" s="13" t="n"/>
      <c r="K202" s="15">
        <f>IF($A202="","",IF(B202&lt;&gt;"",B202,COUNTIFS($P$3:P202,P202)))</f>
        <v/>
      </c>
      <c r="L202" s="14">
        <f>IF(COUNT(C202,D202)&lt;2,"",ROUND(C202*(1+D202/30),1))</f>
        <v/>
      </c>
      <c r="M202" s="14">
        <f>IF(COUNT(E202,F202)&lt;2,"",ROUND(E202*(1+F202/30),1))</f>
        <v/>
      </c>
      <c r="N202" s="14">
        <f>IF(COUNT(C202:F202)=0,"",IF(COUNT(C202,D202)=2,C202*D202,0)+IF(COUNT(E202,F202)=2,E202*F202,0))</f>
        <v/>
      </c>
      <c r="O202" s="14">
        <f>IF($A202="","",IF(COUNTIFS('Sessions'!$P$3:$P$202,P202)=0,"⚠ no Finger curls session row","ok"))</f>
        <v/>
      </c>
      <c r="P202" s="15">
        <f>IF($A202="","",$A202*10+2)</f>
        <v/>
      </c>
    </row>
  </sheetData>
  <conditionalFormatting sqref="K3:K202">
    <cfRule type="cellIs" priority="1" operator="equal" dxfId="0">
      <formula>"LOW"</formula>
    </cfRule>
    <cfRule type="cellIs" priority="2" operator="equal" dxfId="1">
      <formula>"WATCH"</formula>
    </cfRule>
    <cfRule type="cellIs" priority="3" operator="equal" dxfId="2">
      <formula>"GOOD"</formula>
    </cfRule>
  </conditionalFormatting>
  <conditionalFormatting sqref="L3:L202">
    <cfRule type="cellIs" priority="4" operator="equal" dxfId="0">
      <formula>"LOW"</formula>
    </cfRule>
    <cfRule type="cellIs" priority="5" operator="equal" dxfId="1">
      <formula>"WATCH"</formula>
    </cfRule>
    <cfRule type="cellIs" priority="6" operator="equal" dxfId="2">
      <formula>"GOOD"</formula>
    </cfRule>
  </conditionalFormatting>
  <conditionalFormatting sqref="M3:M202">
    <cfRule type="cellIs" priority="7" operator="equal" dxfId="0">
      <formula>"LOW"</formula>
    </cfRule>
    <cfRule type="cellIs" priority="8" operator="equal" dxfId="1">
      <formula>"WATCH"</formula>
    </cfRule>
    <cfRule type="cellIs" priority="9" operator="equal" dxfId="2">
      <formula>"GOOD"</formula>
    </cfRule>
  </conditionalFormatting>
  <conditionalFormatting sqref="N3:N202">
    <cfRule type="cellIs" priority="10" operator="equal" dxfId="0">
      <formula>"LOW"</formula>
    </cfRule>
    <cfRule type="cellIs" priority="11" operator="equal" dxfId="1">
      <formula>"WATCH"</formula>
    </cfRule>
    <cfRule type="cellIs" priority="12" operator="equal" dxfId="2">
      <formula>"GOOD"</formula>
    </cfRule>
  </conditionalFormatting>
  <conditionalFormatting sqref="O3:O202">
    <cfRule type="cellIs" priority="13" operator="equal" dxfId="0">
      <formula>"LOW"</formula>
    </cfRule>
    <cfRule type="cellIs" priority="14" operator="equal" dxfId="1">
      <formula>"WATCH"</formula>
    </cfRule>
    <cfRule type="cellIs" priority="15" operator="equal" dxfId="2">
      <formula>"GOOD"</formula>
    </cfRule>
  </conditionalFormatting>
  <conditionalFormatting sqref="P3:P202">
    <cfRule type="cellIs" priority="16" operator="equal" dxfId="0">
      <formula>"LOW"</formula>
    </cfRule>
    <cfRule type="cellIs" priority="17" operator="equal" dxfId="1">
      <formula>"WATCH"</formula>
    </cfRule>
    <cfRule type="cellIs" priority="18" operator="equal" dxfId="2">
      <formula>"GOOD"</formula>
    </cfRule>
  </conditionalFormatting>
  <dataValidations count="9">
    <dataValidation sqref="A3:A202" showDropDown="0" showInputMessage="0" showErrorMessage="1" allowBlank="0" errorTitle="climblog" error="Value outside the allowed range/choices" type="date" operator="greaterThan">
      <formula1>DATE(2020,1,1)</formula1>
    </dataValidation>
    <dataValidation sqref="B3:B202" showDropDown="0" showInputMessage="0" showErrorMessage="1" allowBlank="0" errorTitle="climblog" error="Value outside the allowed range/choices" type="whole" operator="between">
      <formula1>1</formula1>
      <formula2>50</formula2>
    </dataValidation>
    <dataValidation sqref="C3:C202" showDropDown="0" showInputMessage="0" showErrorMessage="1" allowBlank="0" errorTitle="climblog" error="Value outside the allowed range/choices" type="decimal" operator="between">
      <formula1>0</formula1>
      <formula2>200</formula2>
    </dataValidation>
    <dataValidation sqref="D3:D202" showDropDown="0" showInputMessage="0" showErrorMessage="1" allowBlank="0" errorTitle="climblog" error="Value outside the allowed range/choices" type="whole" operator="between">
      <formula1>1</formula1>
      <formula2>100</formula2>
    </dataValidation>
    <dataValidation sqref="E3:E202" showDropDown="0" showInputMessage="0" showErrorMessage="1" allowBlank="0" errorTitle="climblog" error="Value outside the allowed range/choices" type="decimal" operator="between">
      <formula1>0</formula1>
      <formula2>200</formula2>
    </dataValidation>
    <dataValidation sqref="F3:F202" showDropDown="0" showInputMessage="0" showErrorMessage="1" allowBlank="0" errorTitle="climblog" error="Value outside the allowed range/choices" type="whole" operator="between">
      <formula1>1</formula1>
      <formula2>100</formula2>
    </dataValidation>
    <dataValidation sqref="G3:G202" showDropDown="0" showInputMessage="0" showErrorMessage="1" allowBlank="0" errorTitle="climblog" error="Value outside the allowed range/choices" type="decimal" operator="between">
      <formula1>0</formula1>
      <formula2>1200</formula2>
    </dataValidation>
    <dataValidation sqref="H3:H202" showDropDown="0" showInputMessage="0" showErrorMessage="1" allowBlank="0" errorTitle="climblog" error="Value outside the allowed range/choices" type="list">
      <formula1>"1,2,3,4,5,6,7,8,9,10"</formula1>
    </dataValidation>
    <dataValidation sqref="I3:I202" showDropDown="0" showInputMessage="0" showErrorMessage="1" allowBlank="0" errorTitle="climblog" error="Value outside the allowed range/choices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3" max="3"/>
  </cols>
  <sheetData>
    <row r="1">
      <c r="A1" s="20" t="inlineStr">
        <is>
          <t>key</t>
        </is>
      </c>
      <c r="B1" s="20" t="inlineStr">
        <is>
          <t>value</t>
        </is>
      </c>
      <c r="C1" s="20" t="inlineStr">
        <is>
          <t>label</t>
        </is>
      </c>
    </row>
    <row r="2">
      <c r="A2" t="inlineStr">
        <is>
          <t>low_max</t>
        </is>
      </c>
      <c r="B2" t="n">
        <v>4</v>
      </c>
      <c r="C2" t="inlineStr">
        <is>
          <t>LOW when the lowest (flipped) score is ≤ this</t>
        </is>
      </c>
    </row>
    <row r="3">
      <c r="A3" t="inlineStr">
        <is>
          <t>watch_max</t>
        </is>
      </c>
      <c r="B3" t="n">
        <v>6</v>
      </c>
      <c r="C3" t="inlineStr">
        <is>
          <t>WATCH when the lowest (flipped) score is ≤ this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finger_strength</t>
        </is>
      </c>
    </row>
    <row r="3">
      <c r="A3" t="inlineStr">
        <is>
          <t>module_version</t>
        </is>
      </c>
      <c r="B3" t="n">
        <v>3</v>
      </c>
    </row>
    <row r="4">
      <c r="A4" t="inlineStr">
        <is>
          <t>schema_synced_at</t>
        </is>
      </c>
      <c r="B4" t="inlineStr">
        <is>
          <t>2026-10-20T21:00:00</t>
        </is>
      </c>
    </row>
    <row r="5">
      <c r="A5" t="inlineStr">
        <is>
          <t>app_version</t>
        </is>
      </c>
      <c r="B5" t="inlineStr">
        <is>
          <t>mockup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2026-10-20T21:10:37Z</dcterms:created>
  <dcterms:modified xsi:type="dcterms:W3CDTF">2026-10-20T21:10:37Z</dcterms:modified>
</cp:coreProperties>
</file>